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0" windowWidth="9390" windowHeight="1185" firstSheet="1" activeTab="11"/>
  </bookViews>
  <sheets>
    <sheet name="UHA meas values" sheetId="1" r:id="rId1"/>
    <sheet name="UHA_Vals2" sheetId="11" r:id="rId2"/>
    <sheet name="Commands" sheetId="2" r:id="rId3"/>
    <sheet name="TECHM_STATUS" sheetId="3" r:id="rId4"/>
    <sheet name="Buttons&amp;Lights" sheetId="4" r:id="rId5"/>
    <sheet name="COBIDs" sheetId="5" r:id="rId6"/>
    <sheet name="CAN nodes" sheetId="6" r:id="rId7"/>
    <sheet name="typedefs" sheetId="7" r:id="rId8"/>
    <sheet name="PTC sensor" sheetId="8" r:id="rId9"/>
    <sheet name="Energy VARs" sheetId="9" r:id="rId10"/>
    <sheet name="Energy VARS 2" sheetId="10" r:id="rId11"/>
    <sheet name="BTL protocol" sheetId="12" r:id="rId12"/>
  </sheets>
  <calcPr calcId="125725"/>
</workbook>
</file>

<file path=xl/calcChain.xml><?xml version="1.0" encoding="utf-8"?>
<calcChain xmlns="http://schemas.openxmlformats.org/spreadsheetml/2006/main">
  <c r="H49" i="2"/>
  <c r="H50"/>
  <c r="H51"/>
  <c r="H52"/>
  <c r="N298" i="11"/>
  <c r="N299"/>
  <c r="N300"/>
  <c r="N301"/>
  <c r="N302"/>
  <c r="N303"/>
  <c r="N304"/>
  <c r="N305"/>
  <c r="N306"/>
  <c r="N307"/>
  <c r="N308"/>
  <c r="N309"/>
  <c r="N310"/>
  <c r="N311"/>
  <c r="N312"/>
  <c r="N313"/>
  <c r="N314"/>
  <c r="N315"/>
  <c r="N316"/>
  <c r="N317"/>
  <c r="N318"/>
  <c r="N319"/>
  <c r="N320"/>
  <c r="N321"/>
  <c r="N322"/>
  <c r="N323"/>
  <c r="N324"/>
  <c r="N325"/>
  <c r="N326"/>
  <c r="N327"/>
  <c r="N328"/>
  <c r="N329"/>
  <c r="N330"/>
  <c r="N331"/>
  <c r="N332"/>
  <c r="N333"/>
  <c r="N334"/>
  <c r="N335"/>
  <c r="N336"/>
  <c r="N337"/>
  <c r="N338"/>
  <c r="N339"/>
  <c r="N340"/>
  <c r="N341"/>
  <c r="N342"/>
  <c r="N343"/>
  <c r="N344"/>
  <c r="N345"/>
  <c r="N346"/>
  <c r="N347"/>
  <c r="N182"/>
  <c r="N183"/>
  <c r="N184"/>
  <c r="N185"/>
  <c r="N186"/>
  <c r="N187"/>
  <c r="N188"/>
  <c r="N189"/>
  <c r="N190"/>
  <c r="N191"/>
  <c r="N192"/>
  <c r="N193"/>
  <c r="N194"/>
  <c r="N195"/>
  <c r="N196"/>
  <c r="N197"/>
  <c r="N198"/>
  <c r="N199"/>
  <c r="N200"/>
  <c r="N201"/>
  <c r="N202"/>
  <c r="N203"/>
  <c r="N204"/>
  <c r="N205"/>
  <c r="N206"/>
  <c r="N207"/>
  <c r="N208"/>
  <c r="N209"/>
  <c r="N210"/>
  <c r="N211"/>
  <c r="N212"/>
  <c r="N213"/>
  <c r="N214"/>
  <c r="N215"/>
  <c r="N216"/>
  <c r="N217"/>
  <c r="N218"/>
  <c r="N219"/>
  <c r="N220"/>
  <c r="N221"/>
  <c r="N222"/>
  <c r="N223"/>
  <c r="N224"/>
  <c r="N225"/>
  <c r="N226"/>
  <c r="N227"/>
  <c r="N228"/>
  <c r="N229"/>
  <c r="N230"/>
  <c r="N231"/>
  <c r="N232"/>
  <c r="N233"/>
  <c r="N234"/>
  <c r="N235"/>
  <c r="N236"/>
  <c r="N237"/>
  <c r="N238"/>
  <c r="N239"/>
  <c r="N240"/>
  <c r="N241"/>
  <c r="N242"/>
  <c r="N243"/>
  <c r="N244"/>
  <c r="N245"/>
  <c r="N246"/>
  <c r="N247"/>
  <c r="N248"/>
  <c r="N249"/>
  <c r="N250"/>
  <c r="N251"/>
  <c r="N252"/>
  <c r="N253"/>
  <c r="N254"/>
  <c r="N255"/>
  <c r="N256"/>
  <c r="N257"/>
  <c r="N258"/>
  <c r="N259"/>
  <c r="N260"/>
  <c r="N261"/>
  <c r="N262"/>
  <c r="N263"/>
  <c r="N264"/>
  <c r="N265"/>
  <c r="N266"/>
  <c r="N267"/>
  <c r="N268"/>
  <c r="N269"/>
  <c r="N270"/>
  <c r="N271"/>
  <c r="N272"/>
  <c r="N273"/>
  <c r="N274"/>
  <c r="N275"/>
  <c r="N276"/>
  <c r="N277"/>
  <c r="N278"/>
  <c r="N279"/>
  <c r="N280"/>
  <c r="N281"/>
  <c r="N282"/>
  <c r="N283"/>
  <c r="N284"/>
  <c r="N285"/>
  <c r="N286"/>
  <c r="N287"/>
  <c r="N288"/>
  <c r="N289"/>
  <c r="N290"/>
  <c r="N291"/>
  <c r="N292"/>
  <c r="N293"/>
  <c r="N294"/>
  <c r="N295"/>
  <c r="N296"/>
  <c r="N297"/>
  <c r="L303"/>
  <c r="L304"/>
  <c r="L305"/>
  <c r="L306"/>
  <c r="L307"/>
  <c r="L308"/>
  <c r="L309"/>
  <c r="L310"/>
  <c r="L311"/>
  <c r="L312"/>
  <c r="L313"/>
  <c r="L314"/>
  <c r="L315"/>
  <c r="L316"/>
  <c r="L317"/>
  <c r="L318"/>
  <c r="L319"/>
  <c r="L322"/>
  <c r="L323"/>
  <c r="L324"/>
  <c r="L325"/>
  <c r="L326"/>
  <c r="L327"/>
  <c r="L328"/>
  <c r="L329"/>
  <c r="L330"/>
  <c r="L331"/>
  <c r="L332"/>
  <c r="L333"/>
  <c r="L334"/>
  <c r="L335"/>
  <c r="L336"/>
  <c r="L337"/>
  <c r="L338"/>
  <c r="L339"/>
  <c r="L342"/>
  <c r="L343"/>
  <c r="L344"/>
  <c r="L345"/>
  <c r="L346"/>
  <c r="L302"/>
  <c r="H302"/>
  <c r="H303"/>
  <c r="I303"/>
  <c r="M303"/>
  <c r="O303"/>
  <c r="P303"/>
  <c r="H304"/>
  <c r="I304"/>
  <c r="M304"/>
  <c r="O304"/>
  <c r="P304"/>
  <c r="H305"/>
  <c r="I305"/>
  <c r="M305"/>
  <c r="O305"/>
  <c r="P305"/>
  <c r="H306"/>
  <c r="I306"/>
  <c r="M306"/>
  <c r="O306"/>
  <c r="P306"/>
  <c r="H307"/>
  <c r="I307"/>
  <c r="M307"/>
  <c r="O307"/>
  <c r="P307"/>
  <c r="H308"/>
  <c r="I308"/>
  <c r="M308"/>
  <c r="O308"/>
  <c r="P308"/>
  <c r="H309"/>
  <c r="I309"/>
  <c r="M309"/>
  <c r="O309"/>
  <c r="P309"/>
  <c r="H310"/>
  <c r="I310"/>
  <c r="M310"/>
  <c r="O310"/>
  <c r="P310"/>
  <c r="H311"/>
  <c r="I311"/>
  <c r="M311"/>
  <c r="O311"/>
  <c r="P311"/>
  <c r="H312"/>
  <c r="I312"/>
  <c r="M312"/>
  <c r="O312"/>
  <c r="P312"/>
  <c r="H313"/>
  <c r="I313"/>
  <c r="M313"/>
  <c r="O313"/>
  <c r="P313"/>
  <c r="H314"/>
  <c r="I314"/>
  <c r="M314"/>
  <c r="O314"/>
  <c r="P314"/>
  <c r="H315"/>
  <c r="I315"/>
  <c r="M315"/>
  <c r="O315"/>
  <c r="P315"/>
  <c r="H316"/>
  <c r="I316"/>
  <c r="M316"/>
  <c r="O316"/>
  <c r="P316"/>
  <c r="H317"/>
  <c r="I317"/>
  <c r="M317"/>
  <c r="O317"/>
  <c r="P317"/>
  <c r="H318"/>
  <c r="I318"/>
  <c r="M318"/>
  <c r="O318"/>
  <c r="P318"/>
  <c r="H319"/>
  <c r="I319"/>
  <c r="M319"/>
  <c r="O319"/>
  <c r="P319"/>
  <c r="H322"/>
  <c r="I322"/>
  <c r="M322"/>
  <c r="O322"/>
  <c r="P322"/>
  <c r="H323"/>
  <c r="I323"/>
  <c r="M323"/>
  <c r="O323"/>
  <c r="P323"/>
  <c r="H324"/>
  <c r="I324"/>
  <c r="M324"/>
  <c r="O324"/>
  <c r="P324"/>
  <c r="H325"/>
  <c r="I325"/>
  <c r="M325"/>
  <c r="O325"/>
  <c r="P325"/>
  <c r="H326"/>
  <c r="I326"/>
  <c r="M326"/>
  <c r="O326"/>
  <c r="P326"/>
  <c r="H327"/>
  <c r="I327"/>
  <c r="M327"/>
  <c r="O327"/>
  <c r="P327"/>
  <c r="H328"/>
  <c r="I328"/>
  <c r="M328"/>
  <c r="O328"/>
  <c r="P328"/>
  <c r="H329"/>
  <c r="I329"/>
  <c r="M329"/>
  <c r="O329"/>
  <c r="P329"/>
  <c r="H330"/>
  <c r="I330"/>
  <c r="M330"/>
  <c r="O330"/>
  <c r="P330"/>
  <c r="H331"/>
  <c r="I331"/>
  <c r="M331"/>
  <c r="O331"/>
  <c r="P331"/>
  <c r="H332"/>
  <c r="I332"/>
  <c r="M332"/>
  <c r="O332"/>
  <c r="P332"/>
  <c r="H333"/>
  <c r="I333"/>
  <c r="M333"/>
  <c r="O333"/>
  <c r="P333"/>
  <c r="H334"/>
  <c r="I334"/>
  <c r="M334"/>
  <c r="O334"/>
  <c r="P334"/>
  <c r="H335"/>
  <c r="I335"/>
  <c r="M335"/>
  <c r="O335"/>
  <c r="P335"/>
  <c r="H336"/>
  <c r="I336"/>
  <c r="M336"/>
  <c r="O336"/>
  <c r="P336"/>
  <c r="H337"/>
  <c r="I337"/>
  <c r="M337"/>
  <c r="O337"/>
  <c r="P337"/>
  <c r="H338"/>
  <c r="I338"/>
  <c r="M338"/>
  <c r="O338"/>
  <c r="P338"/>
  <c r="H339"/>
  <c r="I339"/>
  <c r="M339"/>
  <c r="O339"/>
  <c r="P339"/>
  <c r="I302"/>
  <c r="M302"/>
  <c r="O302"/>
  <c r="P302"/>
  <c r="H342"/>
  <c r="I342"/>
  <c r="M342"/>
  <c r="O342"/>
  <c r="P342"/>
  <c r="H343"/>
  <c r="I343"/>
  <c r="M343"/>
  <c r="O343"/>
  <c r="P343"/>
  <c r="H344"/>
  <c r="I344"/>
  <c r="M344"/>
  <c r="O344"/>
  <c r="P344"/>
  <c r="H345"/>
  <c r="I345"/>
  <c r="M345"/>
  <c r="O345"/>
  <c r="P345"/>
  <c r="H346"/>
  <c r="I346"/>
  <c r="M346"/>
  <c r="O346"/>
  <c r="P346"/>
  <c r="D352"/>
  <c r="D351"/>
  <c r="D350"/>
  <c r="D349"/>
  <c r="D348"/>
  <c r="D347"/>
  <c r="D346"/>
  <c r="D345"/>
  <c r="D344"/>
  <c r="D343"/>
  <c r="D342"/>
  <c r="D341"/>
  <c r="D340"/>
  <c r="D339"/>
  <c r="D338"/>
  <c r="D337"/>
  <c r="D336"/>
  <c r="D335"/>
  <c r="D334"/>
  <c r="D333"/>
  <c r="D332"/>
  <c r="D331"/>
  <c r="D330"/>
  <c r="D329"/>
  <c r="D328"/>
  <c r="D327"/>
  <c r="D326"/>
  <c r="D325"/>
  <c r="D324"/>
  <c r="D323"/>
  <c r="D322"/>
  <c r="D321"/>
  <c r="D320"/>
  <c r="D319"/>
  <c r="D318"/>
  <c r="D317"/>
  <c r="D316"/>
  <c r="D315"/>
  <c r="D314"/>
  <c r="D313"/>
  <c r="D312"/>
  <c r="D311"/>
  <c r="D310"/>
  <c r="D309"/>
  <c r="D308"/>
  <c r="D307"/>
  <c r="D306"/>
  <c r="D305"/>
  <c r="D304"/>
  <c r="D303"/>
  <c r="D302"/>
  <c r="D301"/>
  <c r="D300"/>
  <c r="D299"/>
  <c r="D298"/>
  <c r="P297"/>
  <c r="O297"/>
  <c r="M297"/>
  <c r="L297"/>
  <c r="I297"/>
  <c r="H297"/>
  <c r="D297"/>
  <c r="P296"/>
  <c r="O296"/>
  <c r="M296"/>
  <c r="L296"/>
  <c r="I296"/>
  <c r="H296"/>
  <c r="D296"/>
  <c r="P295"/>
  <c r="O295"/>
  <c r="M295"/>
  <c r="L295"/>
  <c r="I295"/>
  <c r="H295"/>
  <c r="D295"/>
  <c r="P294"/>
  <c r="O294"/>
  <c r="M294"/>
  <c r="L294"/>
  <c r="I294"/>
  <c r="H294"/>
  <c r="D294"/>
  <c r="P293"/>
  <c r="O293"/>
  <c r="M293"/>
  <c r="L293"/>
  <c r="I293"/>
  <c r="H293"/>
  <c r="D293"/>
  <c r="P292"/>
  <c r="O292"/>
  <c r="M292"/>
  <c r="L292"/>
  <c r="I292"/>
  <c r="H292"/>
  <c r="D292"/>
  <c r="P291"/>
  <c r="O291"/>
  <c r="M291"/>
  <c r="L291"/>
  <c r="I291"/>
  <c r="H291"/>
  <c r="D291"/>
  <c r="P290"/>
  <c r="O290"/>
  <c r="M290"/>
  <c r="L290"/>
  <c r="I290"/>
  <c r="H290"/>
  <c r="D290"/>
  <c r="P289"/>
  <c r="O289"/>
  <c r="M289"/>
  <c r="L289"/>
  <c r="I289"/>
  <c r="H289"/>
  <c r="D289"/>
  <c r="P288"/>
  <c r="O288"/>
  <c r="M288"/>
  <c r="L288"/>
  <c r="I288"/>
  <c r="H288"/>
  <c r="D288"/>
  <c r="P287"/>
  <c r="O287"/>
  <c r="M287"/>
  <c r="L287"/>
  <c r="I287"/>
  <c r="H287"/>
  <c r="D287"/>
  <c r="P286"/>
  <c r="O286"/>
  <c r="M286"/>
  <c r="L286"/>
  <c r="I286"/>
  <c r="H286"/>
  <c r="D286"/>
  <c r="P285"/>
  <c r="O285"/>
  <c r="M285"/>
  <c r="L285"/>
  <c r="I285"/>
  <c r="H285"/>
  <c r="D285"/>
  <c r="P284"/>
  <c r="O284"/>
  <c r="M284"/>
  <c r="L284"/>
  <c r="I284"/>
  <c r="H284"/>
  <c r="D284"/>
  <c r="P283"/>
  <c r="O283"/>
  <c r="M283"/>
  <c r="L283"/>
  <c r="I283"/>
  <c r="H283"/>
  <c r="D283"/>
  <c r="P282"/>
  <c r="O282"/>
  <c r="M282"/>
  <c r="L282"/>
  <c r="I282"/>
  <c r="H282"/>
  <c r="D282"/>
  <c r="P281"/>
  <c r="O281"/>
  <c r="M281"/>
  <c r="L281"/>
  <c r="I281"/>
  <c r="H281"/>
  <c r="D281"/>
  <c r="P280"/>
  <c r="O280"/>
  <c r="M280"/>
  <c r="L280"/>
  <c r="I280"/>
  <c r="H280"/>
  <c r="D280"/>
  <c r="P279"/>
  <c r="O279"/>
  <c r="M279"/>
  <c r="L279"/>
  <c r="I279"/>
  <c r="H279"/>
  <c r="D279"/>
  <c r="P278"/>
  <c r="O278"/>
  <c r="M278"/>
  <c r="L278"/>
  <c r="I278"/>
  <c r="H278"/>
  <c r="D278"/>
  <c r="P277"/>
  <c r="O277"/>
  <c r="M277"/>
  <c r="L277"/>
  <c r="I277"/>
  <c r="H277"/>
  <c r="D277"/>
  <c r="P276"/>
  <c r="O276"/>
  <c r="M276"/>
  <c r="L276"/>
  <c r="I276"/>
  <c r="H276"/>
  <c r="D276"/>
  <c r="P275"/>
  <c r="O275"/>
  <c r="M275"/>
  <c r="L275"/>
  <c r="I275"/>
  <c r="H275"/>
  <c r="D275"/>
  <c r="P274"/>
  <c r="O274"/>
  <c r="M274"/>
  <c r="L274"/>
  <c r="I274"/>
  <c r="H274"/>
  <c r="D274"/>
  <c r="P273"/>
  <c r="O273"/>
  <c r="M273"/>
  <c r="L273"/>
  <c r="I273"/>
  <c r="H273"/>
  <c r="D273"/>
  <c r="P272"/>
  <c r="O272"/>
  <c r="M272"/>
  <c r="L272"/>
  <c r="I272"/>
  <c r="H272"/>
  <c r="D272"/>
  <c r="P271"/>
  <c r="O271"/>
  <c r="M271"/>
  <c r="L271"/>
  <c r="I271"/>
  <c r="H271"/>
  <c r="D271"/>
  <c r="P270"/>
  <c r="O270"/>
  <c r="M270"/>
  <c r="L270"/>
  <c r="I270"/>
  <c r="H270"/>
  <c r="D270"/>
  <c r="P269"/>
  <c r="O269"/>
  <c r="M269"/>
  <c r="L269"/>
  <c r="I269"/>
  <c r="H269"/>
  <c r="D269"/>
  <c r="P268"/>
  <c r="O268"/>
  <c r="M268"/>
  <c r="L268"/>
  <c r="I268"/>
  <c r="H268"/>
  <c r="D268"/>
  <c r="P267"/>
  <c r="O267"/>
  <c r="M267"/>
  <c r="L267"/>
  <c r="I267"/>
  <c r="H267"/>
  <c r="D267"/>
  <c r="P266"/>
  <c r="O266"/>
  <c r="M266"/>
  <c r="L266"/>
  <c r="I266"/>
  <c r="H266"/>
  <c r="D266"/>
  <c r="P265"/>
  <c r="O265"/>
  <c r="M265"/>
  <c r="L265"/>
  <c r="I265"/>
  <c r="H265"/>
  <c r="D265"/>
  <c r="P264"/>
  <c r="O264"/>
  <c r="M264"/>
  <c r="L264"/>
  <c r="I264"/>
  <c r="H264"/>
  <c r="D264"/>
  <c r="P263"/>
  <c r="O263"/>
  <c r="M263"/>
  <c r="L263"/>
  <c r="I263"/>
  <c r="H263"/>
  <c r="D263"/>
  <c r="P262"/>
  <c r="O262"/>
  <c r="M262"/>
  <c r="L262"/>
  <c r="I262"/>
  <c r="H262"/>
  <c r="D262"/>
  <c r="P261"/>
  <c r="O261"/>
  <c r="M261"/>
  <c r="L261"/>
  <c r="I261"/>
  <c r="H261"/>
  <c r="D261"/>
  <c r="P260"/>
  <c r="O260"/>
  <c r="M260"/>
  <c r="L260"/>
  <c r="I260"/>
  <c r="H260"/>
  <c r="D260"/>
  <c r="P259"/>
  <c r="O259"/>
  <c r="M259"/>
  <c r="L259"/>
  <c r="I259"/>
  <c r="H259"/>
  <c r="D259"/>
  <c r="P258"/>
  <c r="O258"/>
  <c r="M258"/>
  <c r="L258"/>
  <c r="I258"/>
  <c r="H258"/>
  <c r="D258"/>
  <c r="P257"/>
  <c r="O257"/>
  <c r="M257"/>
  <c r="L257"/>
  <c r="I257"/>
  <c r="H257"/>
  <c r="D257"/>
  <c r="P256"/>
  <c r="O256"/>
  <c r="M256"/>
  <c r="L256"/>
  <c r="I256"/>
  <c r="H256"/>
  <c r="D256"/>
  <c r="P255"/>
  <c r="O255"/>
  <c r="M255"/>
  <c r="L255"/>
  <c r="I255"/>
  <c r="H255"/>
  <c r="D255"/>
  <c r="P254"/>
  <c r="O254"/>
  <c r="M254"/>
  <c r="L254"/>
  <c r="I254"/>
  <c r="H254"/>
  <c r="D254"/>
  <c r="P253"/>
  <c r="O253"/>
  <c r="M253"/>
  <c r="L253"/>
  <c r="I253"/>
  <c r="H253"/>
  <c r="D253"/>
  <c r="P252"/>
  <c r="O252"/>
  <c r="M252"/>
  <c r="L252"/>
  <c r="I252"/>
  <c r="H252"/>
  <c r="D252"/>
  <c r="P251"/>
  <c r="O251"/>
  <c r="M251"/>
  <c r="L251"/>
  <c r="I251"/>
  <c r="H251"/>
  <c r="D251"/>
  <c r="P250"/>
  <c r="O250"/>
  <c r="M250"/>
  <c r="L250"/>
  <c r="I250"/>
  <c r="H250"/>
  <c r="D250"/>
  <c r="P249"/>
  <c r="O249"/>
  <c r="M249"/>
  <c r="L249"/>
  <c r="I249"/>
  <c r="H249"/>
  <c r="D249"/>
  <c r="P248"/>
  <c r="O248"/>
  <c r="M248"/>
  <c r="L248"/>
  <c r="I248"/>
  <c r="H248"/>
  <c r="D248"/>
  <c r="P247"/>
  <c r="O247"/>
  <c r="M247"/>
  <c r="L247"/>
  <c r="I247"/>
  <c r="H247"/>
  <c r="D247"/>
  <c r="P246"/>
  <c r="O246"/>
  <c r="M246"/>
  <c r="L246"/>
  <c r="I246"/>
  <c r="H246"/>
  <c r="D246"/>
  <c r="P245"/>
  <c r="O245"/>
  <c r="M245"/>
  <c r="L245"/>
  <c r="I245"/>
  <c r="H245"/>
  <c r="D245"/>
  <c r="P244"/>
  <c r="O244"/>
  <c r="M244"/>
  <c r="L244"/>
  <c r="I244"/>
  <c r="H244"/>
  <c r="D244"/>
  <c r="P243"/>
  <c r="O243"/>
  <c r="M243"/>
  <c r="L243"/>
  <c r="I243"/>
  <c r="H243"/>
  <c r="D243"/>
  <c r="P242"/>
  <c r="O242"/>
  <c r="M242"/>
  <c r="L242"/>
  <c r="I242"/>
  <c r="H242"/>
  <c r="D242"/>
  <c r="P241"/>
  <c r="O241"/>
  <c r="M241"/>
  <c r="L241"/>
  <c r="I241"/>
  <c r="H241"/>
  <c r="D241"/>
  <c r="P240"/>
  <c r="O240"/>
  <c r="M240"/>
  <c r="L240"/>
  <c r="I240"/>
  <c r="H240"/>
  <c r="D240"/>
  <c r="P239"/>
  <c r="O239"/>
  <c r="M239"/>
  <c r="L239"/>
  <c r="I239"/>
  <c r="H239"/>
  <c r="D239"/>
  <c r="P238"/>
  <c r="O238"/>
  <c r="M238"/>
  <c r="L238"/>
  <c r="I238"/>
  <c r="H238"/>
  <c r="D238"/>
  <c r="P237"/>
  <c r="O237"/>
  <c r="M237"/>
  <c r="L237"/>
  <c r="I237"/>
  <c r="H237"/>
  <c r="D237"/>
  <c r="P236"/>
  <c r="O236"/>
  <c r="M236"/>
  <c r="L236"/>
  <c r="I236"/>
  <c r="H236"/>
  <c r="D236"/>
  <c r="P235"/>
  <c r="O235"/>
  <c r="M235"/>
  <c r="L235"/>
  <c r="I235"/>
  <c r="H235"/>
  <c r="D235"/>
  <c r="P234"/>
  <c r="O234"/>
  <c r="M234"/>
  <c r="L234"/>
  <c r="I234"/>
  <c r="H234"/>
  <c r="D234"/>
  <c r="P233"/>
  <c r="O233"/>
  <c r="M233"/>
  <c r="L233"/>
  <c r="I233"/>
  <c r="H233"/>
  <c r="D233"/>
  <c r="P232"/>
  <c r="O232"/>
  <c r="M232"/>
  <c r="L232"/>
  <c r="I232"/>
  <c r="H232"/>
  <c r="D232"/>
  <c r="P231"/>
  <c r="O231"/>
  <c r="M231"/>
  <c r="L231"/>
  <c r="I231"/>
  <c r="H231"/>
  <c r="D231"/>
  <c r="P230"/>
  <c r="O230"/>
  <c r="M230"/>
  <c r="L230"/>
  <c r="I230"/>
  <c r="H230"/>
  <c r="D230"/>
  <c r="P229"/>
  <c r="O229"/>
  <c r="M229"/>
  <c r="L229"/>
  <c r="I229"/>
  <c r="H229"/>
  <c r="D229"/>
  <c r="P228"/>
  <c r="O228"/>
  <c r="M228"/>
  <c r="L228"/>
  <c r="I228"/>
  <c r="H228"/>
  <c r="D228"/>
  <c r="P227"/>
  <c r="O227"/>
  <c r="M227"/>
  <c r="L227"/>
  <c r="I227"/>
  <c r="H227"/>
  <c r="D227"/>
  <c r="P226"/>
  <c r="O226"/>
  <c r="M226"/>
  <c r="L226"/>
  <c r="I226"/>
  <c r="H226"/>
  <c r="D226"/>
  <c r="P225"/>
  <c r="O225"/>
  <c r="M225"/>
  <c r="L225"/>
  <c r="I225"/>
  <c r="H225"/>
  <c r="D225"/>
  <c r="P224"/>
  <c r="O224"/>
  <c r="M224"/>
  <c r="L224"/>
  <c r="I224"/>
  <c r="H224"/>
  <c r="D224"/>
  <c r="P223"/>
  <c r="O223"/>
  <c r="M223"/>
  <c r="L223"/>
  <c r="I223"/>
  <c r="H223"/>
  <c r="D223"/>
  <c r="P222"/>
  <c r="O222"/>
  <c r="M222"/>
  <c r="L222"/>
  <c r="I222"/>
  <c r="H222"/>
  <c r="D222"/>
  <c r="O221"/>
  <c r="L221"/>
  <c r="D221"/>
  <c r="O220"/>
  <c r="L220"/>
  <c r="D220"/>
  <c r="O219"/>
  <c r="L219"/>
  <c r="D219"/>
  <c r="O218"/>
  <c r="L218"/>
  <c r="D218"/>
  <c r="O217"/>
  <c r="L217"/>
  <c r="D217"/>
  <c r="O216"/>
  <c r="L216"/>
  <c r="D216"/>
  <c r="O215"/>
  <c r="L215"/>
  <c r="D215"/>
  <c r="O214"/>
  <c r="L214"/>
  <c r="D214"/>
  <c r="P213"/>
  <c r="O213"/>
  <c r="M213"/>
  <c r="L213"/>
  <c r="I213"/>
  <c r="H213"/>
  <c r="D213"/>
  <c r="P212"/>
  <c r="O212"/>
  <c r="M212"/>
  <c r="L212"/>
  <c r="I212"/>
  <c r="H212"/>
  <c r="D212"/>
  <c r="P211"/>
  <c r="O211"/>
  <c r="M211"/>
  <c r="L211"/>
  <c r="I211"/>
  <c r="H211"/>
  <c r="D211"/>
  <c r="P210"/>
  <c r="O210"/>
  <c r="M210"/>
  <c r="L210"/>
  <c r="I210"/>
  <c r="H210"/>
  <c r="D210"/>
  <c r="P209"/>
  <c r="O209"/>
  <c r="M209"/>
  <c r="L209"/>
  <c r="I209"/>
  <c r="H209"/>
  <c r="D209"/>
  <c r="P208"/>
  <c r="O208"/>
  <c r="M208"/>
  <c r="L208"/>
  <c r="I208"/>
  <c r="H208"/>
  <c r="D208"/>
  <c r="P207"/>
  <c r="O207"/>
  <c r="M207"/>
  <c r="L207"/>
  <c r="I207"/>
  <c r="H207"/>
  <c r="D207"/>
  <c r="P206"/>
  <c r="O206"/>
  <c r="M206"/>
  <c r="L206"/>
  <c r="I206"/>
  <c r="H206"/>
  <c r="D206"/>
  <c r="P205"/>
  <c r="O205"/>
  <c r="M205"/>
  <c r="L205"/>
  <c r="I205"/>
  <c r="H205"/>
  <c r="D205"/>
  <c r="P204"/>
  <c r="O204"/>
  <c r="M204"/>
  <c r="L204"/>
  <c r="I204"/>
  <c r="H204"/>
  <c r="D204"/>
  <c r="P203"/>
  <c r="O203"/>
  <c r="M203"/>
  <c r="L203"/>
  <c r="I203"/>
  <c r="H203"/>
  <c r="D203"/>
  <c r="P202"/>
  <c r="O202"/>
  <c r="M202"/>
  <c r="L202"/>
  <c r="I202"/>
  <c r="H202"/>
  <c r="D202"/>
  <c r="P201"/>
  <c r="O201"/>
  <c r="M201"/>
  <c r="L201"/>
  <c r="I201"/>
  <c r="H201"/>
  <c r="D201"/>
  <c r="P200"/>
  <c r="O200"/>
  <c r="M200"/>
  <c r="L200"/>
  <c r="I200"/>
  <c r="H200"/>
  <c r="D200"/>
  <c r="P199"/>
  <c r="O199"/>
  <c r="M199"/>
  <c r="L199"/>
  <c r="I199"/>
  <c r="H199"/>
  <c r="D199"/>
  <c r="P198"/>
  <c r="O198"/>
  <c r="M198"/>
  <c r="L198"/>
  <c r="I198"/>
  <c r="H198"/>
  <c r="D198"/>
  <c r="P197"/>
  <c r="O197"/>
  <c r="M197"/>
  <c r="L197"/>
  <c r="I197"/>
  <c r="H197"/>
  <c r="D197"/>
  <c r="P196"/>
  <c r="O196"/>
  <c r="M196"/>
  <c r="L196"/>
  <c r="I196"/>
  <c r="H196"/>
  <c r="D196"/>
  <c r="P195"/>
  <c r="O195"/>
  <c r="M195"/>
  <c r="L195"/>
  <c r="I195"/>
  <c r="H195"/>
  <c r="D195"/>
  <c r="P194"/>
  <c r="O194"/>
  <c r="M194"/>
  <c r="L194"/>
  <c r="I194"/>
  <c r="H194"/>
  <c r="D194"/>
  <c r="P193"/>
  <c r="O193"/>
  <c r="M193"/>
  <c r="L193"/>
  <c r="I193"/>
  <c r="H193"/>
  <c r="D193"/>
  <c r="P192"/>
  <c r="O192"/>
  <c r="M192"/>
  <c r="L192"/>
  <c r="I192"/>
  <c r="H192"/>
  <c r="D192"/>
  <c r="P191"/>
  <c r="O191"/>
  <c r="M191"/>
  <c r="L191"/>
  <c r="I191"/>
  <c r="H191"/>
  <c r="D191"/>
  <c r="P190"/>
  <c r="O190"/>
  <c r="M190"/>
  <c r="L190"/>
  <c r="I190"/>
  <c r="H190"/>
  <c r="D190"/>
  <c r="P189"/>
  <c r="O189"/>
  <c r="M189"/>
  <c r="L189"/>
  <c r="I189"/>
  <c r="H189"/>
  <c r="D189"/>
  <c r="P188"/>
  <c r="O188"/>
  <c r="M188"/>
  <c r="L188"/>
  <c r="I188"/>
  <c r="H188"/>
  <c r="D188"/>
  <c r="P187"/>
  <c r="O187"/>
  <c r="M187"/>
  <c r="L187"/>
  <c r="I187"/>
  <c r="H187"/>
  <c r="D187"/>
  <c r="P186"/>
  <c r="O186"/>
  <c r="M186"/>
  <c r="L186"/>
  <c r="I186"/>
  <c r="H186"/>
  <c r="D186"/>
  <c r="P185"/>
  <c r="O185"/>
  <c r="M185"/>
  <c r="L185"/>
  <c r="I185"/>
  <c r="H185"/>
  <c r="D185"/>
  <c r="P184"/>
  <c r="O184"/>
  <c r="M184"/>
  <c r="L184"/>
  <c r="I184"/>
  <c r="H184"/>
  <c r="D184"/>
  <c r="P183"/>
  <c r="O183"/>
  <c r="M183"/>
  <c r="L183"/>
  <c r="I183"/>
  <c r="H183"/>
  <c r="D183"/>
  <c r="P182"/>
  <c r="O182"/>
  <c r="M182"/>
  <c r="L182"/>
  <c r="I182"/>
  <c r="H182"/>
  <c r="D182"/>
  <c r="P181"/>
  <c r="O181"/>
  <c r="N181"/>
  <c r="L181"/>
  <c r="I181"/>
  <c r="H181"/>
  <c r="D181"/>
  <c r="P180"/>
  <c r="O180"/>
  <c r="N180"/>
  <c r="L180"/>
  <c r="I180"/>
  <c r="H180"/>
  <c r="D180"/>
  <c r="P179"/>
  <c r="O179"/>
  <c r="N179"/>
  <c r="L179"/>
  <c r="I179"/>
  <c r="H179"/>
  <c r="D179"/>
  <c r="P178"/>
  <c r="O178"/>
  <c r="N178"/>
  <c r="L178"/>
  <c r="I178"/>
  <c r="H178"/>
  <c r="D178"/>
  <c r="P177"/>
  <c r="O177"/>
  <c r="N177"/>
  <c r="L177"/>
  <c r="I177"/>
  <c r="H177"/>
  <c r="D177"/>
  <c r="P176"/>
  <c r="O176"/>
  <c r="N176"/>
  <c r="L176"/>
  <c r="I176"/>
  <c r="H176"/>
  <c r="D176"/>
  <c r="P175"/>
  <c r="O175"/>
  <c r="N175"/>
  <c r="L175"/>
  <c r="I175"/>
  <c r="H175"/>
  <c r="D175"/>
  <c r="P174"/>
  <c r="O174"/>
  <c r="N174"/>
  <c r="L174"/>
  <c r="I174"/>
  <c r="H174"/>
  <c r="D174"/>
  <c r="P173"/>
  <c r="O173"/>
  <c r="N173"/>
  <c r="L173"/>
  <c r="I173"/>
  <c r="H173"/>
  <c r="D173"/>
  <c r="P172"/>
  <c r="O172"/>
  <c r="N172"/>
  <c r="L172"/>
  <c r="I172"/>
  <c r="H172"/>
  <c r="D172"/>
  <c r="P171"/>
  <c r="O171"/>
  <c r="N171"/>
  <c r="L171"/>
  <c r="I171"/>
  <c r="H171"/>
  <c r="D171"/>
  <c r="P170"/>
  <c r="O170"/>
  <c r="N170"/>
  <c r="L170"/>
  <c r="I170"/>
  <c r="H170"/>
  <c r="D170"/>
  <c r="P169"/>
  <c r="O169"/>
  <c r="N169"/>
  <c r="L169"/>
  <c r="I169"/>
  <c r="H169"/>
  <c r="D169"/>
  <c r="P168"/>
  <c r="O168"/>
  <c r="N168"/>
  <c r="L168"/>
  <c r="I168"/>
  <c r="H168"/>
  <c r="D168"/>
  <c r="P167"/>
  <c r="O167"/>
  <c r="N167"/>
  <c r="L167"/>
  <c r="I167"/>
  <c r="H167"/>
  <c r="D167"/>
  <c r="P166"/>
  <c r="O166"/>
  <c r="N166"/>
  <c r="L166"/>
  <c r="I166"/>
  <c r="H166"/>
  <c r="D166"/>
  <c r="P165"/>
  <c r="O165"/>
  <c r="N165"/>
  <c r="L165"/>
  <c r="I165"/>
  <c r="H165"/>
  <c r="D165"/>
  <c r="P164"/>
  <c r="O164"/>
  <c r="N164"/>
  <c r="L164"/>
  <c r="I164"/>
  <c r="H164"/>
  <c r="D164"/>
  <c r="P163"/>
  <c r="O163"/>
  <c r="N163"/>
  <c r="L163"/>
  <c r="I163"/>
  <c r="H163"/>
  <c r="D163"/>
  <c r="P162"/>
  <c r="O162"/>
  <c r="N162"/>
  <c r="L162"/>
  <c r="I162"/>
  <c r="H162"/>
  <c r="D162"/>
  <c r="P161"/>
  <c r="O161"/>
  <c r="N161"/>
  <c r="L161"/>
  <c r="I161"/>
  <c r="H161"/>
  <c r="D161"/>
  <c r="P160"/>
  <c r="O160"/>
  <c r="N160"/>
  <c r="L160"/>
  <c r="I160"/>
  <c r="H160"/>
  <c r="D160"/>
  <c r="P159"/>
  <c r="O159"/>
  <c r="N159"/>
  <c r="L159"/>
  <c r="I159"/>
  <c r="H159"/>
  <c r="D159"/>
  <c r="P158"/>
  <c r="O158"/>
  <c r="N158"/>
  <c r="L158"/>
  <c r="I158"/>
  <c r="H158"/>
  <c r="D158"/>
  <c r="P157"/>
  <c r="O157"/>
  <c r="N157"/>
  <c r="L157"/>
  <c r="I157"/>
  <c r="H157"/>
  <c r="D157"/>
  <c r="P156"/>
  <c r="O156"/>
  <c r="N156"/>
  <c r="L156"/>
  <c r="I156"/>
  <c r="H156"/>
  <c r="D156"/>
  <c r="P155"/>
  <c r="O155"/>
  <c r="N155"/>
  <c r="L155"/>
  <c r="I155"/>
  <c r="H155"/>
  <c r="D155"/>
  <c r="P154"/>
  <c r="O154"/>
  <c r="N154"/>
  <c r="L154"/>
  <c r="I154"/>
  <c r="H154"/>
  <c r="D154"/>
  <c r="P153"/>
  <c r="O153"/>
  <c r="N153"/>
  <c r="L153"/>
  <c r="I153"/>
  <c r="H153"/>
  <c r="D153"/>
  <c r="P152"/>
  <c r="O152"/>
  <c r="N152"/>
  <c r="L152"/>
  <c r="I152"/>
  <c r="H152"/>
  <c r="D152"/>
  <c r="P151"/>
  <c r="O151"/>
  <c r="N151"/>
  <c r="L151"/>
  <c r="I151"/>
  <c r="H151"/>
  <c r="D151"/>
  <c r="P150"/>
  <c r="O150"/>
  <c r="N150"/>
  <c r="L150"/>
  <c r="I150"/>
  <c r="H150"/>
  <c r="D150"/>
  <c r="P149"/>
  <c r="O149"/>
  <c r="N149"/>
  <c r="L149"/>
  <c r="I149"/>
  <c r="H149"/>
  <c r="D149"/>
  <c r="P148"/>
  <c r="O148"/>
  <c r="N148"/>
  <c r="L148"/>
  <c r="I148"/>
  <c r="H148"/>
  <c r="D148"/>
  <c r="P147"/>
  <c r="O147"/>
  <c r="N147"/>
  <c r="L147"/>
  <c r="I147"/>
  <c r="H147"/>
  <c r="D147"/>
  <c r="P146"/>
  <c r="O146"/>
  <c r="N146"/>
  <c r="L146"/>
  <c r="I146"/>
  <c r="H146"/>
  <c r="D146"/>
  <c r="P145"/>
  <c r="O145"/>
  <c r="N145"/>
  <c r="L145"/>
  <c r="I145"/>
  <c r="H145"/>
  <c r="D145"/>
  <c r="P144"/>
  <c r="O144"/>
  <c r="N144"/>
  <c r="L144"/>
  <c r="I144"/>
  <c r="H144"/>
  <c r="D144"/>
  <c r="P143"/>
  <c r="O143"/>
  <c r="N143"/>
  <c r="L143"/>
  <c r="I143"/>
  <c r="H143"/>
  <c r="D143"/>
  <c r="P142"/>
  <c r="O142"/>
  <c r="N142"/>
  <c r="L142"/>
  <c r="I142"/>
  <c r="H142"/>
  <c r="D142"/>
  <c r="P141"/>
  <c r="O141"/>
  <c r="N141"/>
  <c r="L141"/>
  <c r="I141"/>
  <c r="H141"/>
  <c r="D141"/>
  <c r="P140"/>
  <c r="O140"/>
  <c r="N140"/>
  <c r="L140"/>
  <c r="I140"/>
  <c r="H140"/>
  <c r="D140"/>
  <c r="P139"/>
  <c r="O139"/>
  <c r="N139"/>
  <c r="L139"/>
  <c r="I139"/>
  <c r="H139"/>
  <c r="D139"/>
  <c r="O138"/>
  <c r="L138"/>
  <c r="D138"/>
  <c r="O137"/>
  <c r="L137"/>
  <c r="D137"/>
  <c r="O136"/>
  <c r="L136"/>
  <c r="D136"/>
  <c r="P135"/>
  <c r="O135"/>
  <c r="N135"/>
  <c r="L135"/>
  <c r="I135"/>
  <c r="H135"/>
  <c r="D135"/>
  <c r="P134"/>
  <c r="O134"/>
  <c r="N134"/>
  <c r="L134"/>
  <c r="I134"/>
  <c r="H134"/>
  <c r="D134"/>
  <c r="P133"/>
  <c r="O133"/>
  <c r="N133"/>
  <c r="L133"/>
  <c r="I133"/>
  <c r="H133"/>
  <c r="D133"/>
  <c r="P132"/>
  <c r="O132"/>
  <c r="N132"/>
  <c r="L132"/>
  <c r="I132"/>
  <c r="H132"/>
  <c r="D132"/>
  <c r="P131"/>
  <c r="O131"/>
  <c r="N131"/>
  <c r="L131"/>
  <c r="I131"/>
  <c r="H131"/>
  <c r="D131"/>
  <c r="P130"/>
  <c r="O130"/>
  <c r="N130"/>
  <c r="L130"/>
  <c r="I130"/>
  <c r="H130"/>
  <c r="D130"/>
  <c r="P129"/>
  <c r="O129"/>
  <c r="N129"/>
  <c r="L129"/>
  <c r="K129"/>
  <c r="I129"/>
  <c r="H129"/>
  <c r="D129"/>
  <c r="P128"/>
  <c r="O128"/>
  <c r="N128"/>
  <c r="L128"/>
  <c r="K128"/>
  <c r="I128"/>
  <c r="H128"/>
  <c r="D128"/>
  <c r="P127"/>
  <c r="O127"/>
  <c r="N127"/>
  <c r="L127"/>
  <c r="K127"/>
  <c r="I127"/>
  <c r="H127"/>
  <c r="D127"/>
  <c r="P126"/>
  <c r="O126"/>
  <c r="N126"/>
  <c r="L126"/>
  <c r="K126"/>
  <c r="I126"/>
  <c r="H126"/>
  <c r="D126"/>
  <c r="P125"/>
  <c r="O125"/>
  <c r="N125"/>
  <c r="L125"/>
  <c r="K125"/>
  <c r="I125"/>
  <c r="H125"/>
  <c r="D125"/>
  <c r="P124"/>
  <c r="O124"/>
  <c r="N124"/>
  <c r="L124"/>
  <c r="K124"/>
  <c r="I124"/>
  <c r="H124"/>
  <c r="D124"/>
  <c r="P123"/>
  <c r="O123"/>
  <c r="N123"/>
  <c r="L123"/>
  <c r="K123"/>
  <c r="I123"/>
  <c r="H123"/>
  <c r="D123"/>
  <c r="P122"/>
  <c r="O122"/>
  <c r="N122"/>
  <c r="L122"/>
  <c r="K122"/>
  <c r="I122"/>
  <c r="H122"/>
  <c r="D122"/>
  <c r="P121"/>
  <c r="O121"/>
  <c r="N121"/>
  <c r="L121"/>
  <c r="D121"/>
  <c r="P120"/>
  <c r="O120"/>
  <c r="N120"/>
  <c r="L120"/>
  <c r="D120"/>
  <c r="P119"/>
  <c r="O119"/>
  <c r="N119"/>
  <c r="L119"/>
  <c r="K119"/>
  <c r="I119"/>
  <c r="H119"/>
  <c r="D119"/>
  <c r="P118"/>
  <c r="O118"/>
  <c r="N118"/>
  <c r="L118"/>
  <c r="K118"/>
  <c r="I118"/>
  <c r="H118"/>
  <c r="D118"/>
  <c r="P117"/>
  <c r="O117"/>
  <c r="N117"/>
  <c r="L117"/>
  <c r="K117"/>
  <c r="I117"/>
  <c r="H117"/>
  <c r="D117"/>
  <c r="P116"/>
  <c r="O116"/>
  <c r="N116"/>
  <c r="L116"/>
  <c r="K116"/>
  <c r="I116"/>
  <c r="H116"/>
  <c r="D116"/>
  <c r="P115"/>
  <c r="O115"/>
  <c r="N115"/>
  <c r="L115"/>
  <c r="K115"/>
  <c r="I115"/>
  <c r="H115"/>
  <c r="D115"/>
  <c r="P114"/>
  <c r="O114"/>
  <c r="N114"/>
  <c r="L114"/>
  <c r="K114"/>
  <c r="I114"/>
  <c r="H114"/>
  <c r="D114"/>
  <c r="P113"/>
  <c r="O113"/>
  <c r="N113"/>
  <c r="L113"/>
  <c r="K113"/>
  <c r="I113"/>
  <c r="H113"/>
  <c r="D113"/>
  <c r="P112"/>
  <c r="O112"/>
  <c r="N112"/>
  <c r="L112"/>
  <c r="K112"/>
  <c r="I112"/>
  <c r="H112"/>
  <c r="D112"/>
  <c r="P111"/>
  <c r="O111"/>
  <c r="N111"/>
  <c r="L111"/>
  <c r="K111"/>
  <c r="I111"/>
  <c r="H111"/>
  <c r="D111"/>
  <c r="P110"/>
  <c r="O110"/>
  <c r="N110"/>
  <c r="L110"/>
  <c r="K110"/>
  <c r="I110"/>
  <c r="H110"/>
  <c r="D110"/>
  <c r="P109"/>
  <c r="O109"/>
  <c r="N109"/>
  <c r="L109"/>
  <c r="K109"/>
  <c r="I109"/>
  <c r="H109"/>
  <c r="D109"/>
  <c r="P108"/>
  <c r="O108"/>
  <c r="N108"/>
  <c r="L108"/>
  <c r="K108"/>
  <c r="I108"/>
  <c r="H108"/>
  <c r="D108"/>
  <c r="P107"/>
  <c r="O107"/>
  <c r="N107"/>
  <c r="L107"/>
  <c r="K107"/>
  <c r="I107"/>
  <c r="H107"/>
  <c r="D107"/>
  <c r="P106"/>
  <c r="O106"/>
  <c r="N106"/>
  <c r="L106"/>
  <c r="K106"/>
  <c r="I106"/>
  <c r="H106"/>
  <c r="D106"/>
  <c r="P105"/>
  <c r="O105"/>
  <c r="N105"/>
  <c r="L105"/>
  <c r="K105"/>
  <c r="I105"/>
  <c r="H105"/>
  <c r="D105"/>
  <c r="P104"/>
  <c r="O104"/>
  <c r="N104"/>
  <c r="L104"/>
  <c r="K104"/>
  <c r="I104"/>
  <c r="H104"/>
  <c r="D104"/>
  <c r="P103"/>
  <c r="O103"/>
  <c r="N103"/>
  <c r="L103"/>
  <c r="K103"/>
  <c r="I103"/>
  <c r="H103"/>
  <c r="D103"/>
  <c r="P102"/>
  <c r="O102"/>
  <c r="N102"/>
  <c r="L102"/>
  <c r="K102"/>
  <c r="I102"/>
  <c r="H102"/>
  <c r="D102"/>
  <c r="P101"/>
  <c r="O101"/>
  <c r="N101"/>
  <c r="L101"/>
  <c r="I101"/>
  <c r="H101"/>
  <c r="D101"/>
  <c r="P100"/>
  <c r="O100"/>
  <c r="N100"/>
  <c r="L100"/>
  <c r="I100"/>
  <c r="H100"/>
  <c r="D100"/>
  <c r="O99"/>
  <c r="N99"/>
  <c r="L99"/>
  <c r="I99"/>
  <c r="H99"/>
  <c r="D99"/>
  <c r="O98"/>
  <c r="N98"/>
  <c r="L98"/>
  <c r="I98"/>
  <c r="H98"/>
  <c r="D98"/>
  <c r="O97"/>
  <c r="N97"/>
  <c r="L97"/>
  <c r="I97"/>
  <c r="H97"/>
  <c r="D97"/>
  <c r="O96"/>
  <c r="N96"/>
  <c r="L96"/>
  <c r="I96"/>
  <c r="H96"/>
  <c r="D96"/>
  <c r="P95"/>
  <c r="O95"/>
  <c r="N95"/>
  <c r="L95"/>
  <c r="I95"/>
  <c r="H95"/>
  <c r="D95"/>
  <c r="P94"/>
  <c r="O94"/>
  <c r="N94"/>
  <c r="L94"/>
  <c r="I94"/>
  <c r="H94"/>
  <c r="D94"/>
  <c r="P93"/>
  <c r="O93"/>
  <c r="N93"/>
  <c r="L93"/>
  <c r="I93"/>
  <c r="H93"/>
  <c r="D93"/>
  <c r="P92"/>
  <c r="O92"/>
  <c r="N92"/>
  <c r="L92"/>
  <c r="I92"/>
  <c r="H92"/>
  <c r="D92"/>
  <c r="O91"/>
  <c r="N91"/>
  <c r="L91"/>
  <c r="I91"/>
  <c r="H91"/>
  <c r="D91"/>
  <c r="O90"/>
  <c r="N90"/>
  <c r="L90"/>
  <c r="I90"/>
  <c r="H90"/>
  <c r="D90"/>
  <c r="O89"/>
  <c r="N89"/>
  <c r="L89"/>
  <c r="I89"/>
  <c r="H89"/>
  <c r="D89"/>
  <c r="P88"/>
  <c r="O88"/>
  <c r="N88"/>
  <c r="L88"/>
  <c r="I88"/>
  <c r="H88"/>
  <c r="D88"/>
  <c r="P87"/>
  <c r="O87"/>
  <c r="N87"/>
  <c r="L87"/>
  <c r="I87"/>
  <c r="H87"/>
  <c r="D87"/>
  <c r="O86"/>
  <c r="N86"/>
  <c r="L86"/>
  <c r="I86"/>
  <c r="H86"/>
  <c r="D86"/>
  <c r="P85"/>
  <c r="O85"/>
  <c r="N85"/>
  <c r="L85"/>
  <c r="I85"/>
  <c r="H85"/>
  <c r="D85"/>
  <c r="P84"/>
  <c r="O84"/>
  <c r="N84"/>
  <c r="L84"/>
  <c r="I84"/>
  <c r="H84"/>
  <c r="D84"/>
  <c r="P83"/>
  <c r="O83"/>
  <c r="N83"/>
  <c r="L83"/>
  <c r="I83"/>
  <c r="H83"/>
  <c r="D83"/>
  <c r="P82"/>
  <c r="O82"/>
  <c r="N82"/>
  <c r="L82"/>
  <c r="I82"/>
  <c r="H82"/>
  <c r="D82"/>
  <c r="O81"/>
  <c r="N81"/>
  <c r="L81"/>
  <c r="I81"/>
  <c r="H81"/>
  <c r="D81"/>
  <c r="O80"/>
  <c r="N80"/>
  <c r="L80"/>
  <c r="I80"/>
  <c r="H80"/>
  <c r="D80"/>
  <c r="P79"/>
  <c r="O79"/>
  <c r="N79"/>
  <c r="L79"/>
  <c r="I79"/>
  <c r="H79"/>
  <c r="D79"/>
  <c r="P78"/>
  <c r="O78"/>
  <c r="N78"/>
  <c r="L78"/>
  <c r="I78"/>
  <c r="H78"/>
  <c r="D78"/>
  <c r="P77"/>
  <c r="O77"/>
  <c r="N77"/>
  <c r="L77"/>
  <c r="I77"/>
  <c r="H77"/>
  <c r="D77"/>
  <c r="P76"/>
  <c r="O76"/>
  <c r="N76"/>
  <c r="L76"/>
  <c r="I76"/>
  <c r="H76"/>
  <c r="D76"/>
  <c r="P75"/>
  <c r="O75"/>
  <c r="N75"/>
  <c r="L75"/>
  <c r="I75"/>
  <c r="H75"/>
  <c r="D75"/>
  <c r="P74"/>
  <c r="O74"/>
  <c r="N74"/>
  <c r="L74"/>
  <c r="I74"/>
  <c r="H74"/>
  <c r="D74"/>
  <c r="P73"/>
  <c r="O73"/>
  <c r="N73"/>
  <c r="L73"/>
  <c r="I73"/>
  <c r="H73"/>
  <c r="D73"/>
  <c r="P72"/>
  <c r="O72"/>
  <c r="N72"/>
  <c r="L72"/>
  <c r="I72"/>
  <c r="H72"/>
  <c r="D72"/>
  <c r="O71"/>
  <c r="L71"/>
  <c r="I71"/>
  <c r="H71"/>
  <c r="D71"/>
  <c r="O70"/>
  <c r="L70"/>
  <c r="I70"/>
  <c r="H70"/>
  <c r="D70"/>
  <c r="P69"/>
  <c r="O69"/>
  <c r="N69"/>
  <c r="L69"/>
  <c r="I69"/>
  <c r="H69"/>
  <c r="D69"/>
  <c r="P68"/>
  <c r="O68"/>
  <c r="N68"/>
  <c r="L68"/>
  <c r="I68"/>
  <c r="H68"/>
  <c r="D68"/>
  <c r="P67"/>
  <c r="O67"/>
  <c r="N67"/>
  <c r="L67"/>
  <c r="I67"/>
  <c r="H67"/>
  <c r="D67"/>
  <c r="P66"/>
  <c r="O66"/>
  <c r="N66"/>
  <c r="L66"/>
  <c r="I66"/>
  <c r="H66"/>
  <c r="D66"/>
  <c r="P65"/>
  <c r="O65"/>
  <c r="N65"/>
  <c r="L65"/>
  <c r="I65"/>
  <c r="H65"/>
  <c r="D65"/>
  <c r="P64"/>
  <c r="O64"/>
  <c r="N64"/>
  <c r="L64"/>
  <c r="I64"/>
  <c r="H64"/>
  <c r="D64"/>
  <c r="P63"/>
  <c r="O63"/>
  <c r="N63"/>
  <c r="L63"/>
  <c r="I63"/>
  <c r="H63"/>
  <c r="D63"/>
  <c r="P62"/>
  <c r="O62"/>
  <c r="N62"/>
  <c r="L62"/>
  <c r="I62"/>
  <c r="H62"/>
  <c r="D62"/>
  <c r="D61"/>
  <c r="D60"/>
  <c r="D59"/>
  <c r="D58"/>
  <c r="D57"/>
  <c r="D56"/>
  <c r="D55"/>
  <c r="D54"/>
  <c r="O53"/>
  <c r="L53"/>
  <c r="I53"/>
  <c r="H53"/>
  <c r="D53"/>
  <c r="P52"/>
  <c r="O52"/>
  <c r="L52"/>
  <c r="I52"/>
  <c r="H52"/>
  <c r="D52"/>
  <c r="O51"/>
  <c r="L51"/>
  <c r="I51"/>
  <c r="H51"/>
  <c r="D51"/>
  <c r="P50"/>
  <c r="O50"/>
  <c r="L50"/>
  <c r="I50"/>
  <c r="H50"/>
  <c r="D50"/>
  <c r="P49"/>
  <c r="O49"/>
  <c r="L49"/>
  <c r="I49"/>
  <c r="H49"/>
  <c r="D49"/>
  <c r="P48"/>
  <c r="O48"/>
  <c r="L48"/>
  <c r="I48"/>
  <c r="H48"/>
  <c r="D48"/>
  <c r="P47"/>
  <c r="O47"/>
  <c r="L47"/>
  <c r="I47"/>
  <c r="H47"/>
  <c r="D47"/>
  <c r="P46"/>
  <c r="O46"/>
  <c r="L46"/>
  <c r="I46"/>
  <c r="H46"/>
  <c r="D46"/>
  <c r="P45"/>
  <c r="O45"/>
  <c r="L45"/>
  <c r="I45"/>
  <c r="H45"/>
  <c r="D45"/>
  <c r="P44"/>
  <c r="O44"/>
  <c r="L44"/>
  <c r="I44"/>
  <c r="H44"/>
  <c r="D44"/>
  <c r="P43"/>
  <c r="O43"/>
  <c r="L43"/>
  <c r="I43"/>
  <c r="H43"/>
  <c r="D43"/>
  <c r="P42"/>
  <c r="O42"/>
  <c r="L42"/>
  <c r="I42"/>
  <c r="H42"/>
  <c r="D42"/>
  <c r="O41"/>
  <c r="L41"/>
  <c r="I41"/>
  <c r="H41"/>
  <c r="D41"/>
  <c r="O40"/>
  <c r="L40"/>
  <c r="I40"/>
  <c r="H40"/>
  <c r="D40"/>
  <c r="O39"/>
  <c r="L39"/>
  <c r="I39"/>
  <c r="H39"/>
  <c r="D39"/>
  <c r="O38"/>
  <c r="L38"/>
  <c r="I38"/>
  <c r="H38"/>
  <c r="D38"/>
  <c r="O37"/>
  <c r="L37"/>
  <c r="I37"/>
  <c r="H37"/>
  <c r="D37"/>
  <c r="P36"/>
  <c r="O36"/>
  <c r="M36"/>
  <c r="L36"/>
  <c r="I36"/>
  <c r="H36"/>
  <c r="D36"/>
  <c r="P35"/>
  <c r="O35"/>
  <c r="M35"/>
  <c r="L35"/>
  <c r="I35"/>
  <c r="H35"/>
  <c r="D35"/>
  <c r="P34"/>
  <c r="O34"/>
  <c r="M34"/>
  <c r="L34"/>
  <c r="I34"/>
  <c r="H34"/>
  <c r="D34"/>
  <c r="P33"/>
  <c r="O33"/>
  <c r="M33"/>
  <c r="L33"/>
  <c r="I33"/>
  <c r="H33"/>
  <c r="D33"/>
  <c r="P32"/>
  <c r="O32"/>
  <c r="M32"/>
  <c r="L32"/>
  <c r="I32"/>
  <c r="H32"/>
  <c r="D32"/>
  <c r="O31"/>
  <c r="L31"/>
  <c r="I31"/>
  <c r="H31"/>
  <c r="D31"/>
  <c r="O30"/>
  <c r="L30"/>
  <c r="I30"/>
  <c r="H30"/>
  <c r="D30"/>
  <c r="O29"/>
  <c r="L29"/>
  <c r="I29"/>
  <c r="H29"/>
  <c r="D29"/>
  <c r="O28"/>
  <c r="L28"/>
  <c r="I28"/>
  <c r="H28"/>
  <c r="D28"/>
  <c r="O27"/>
  <c r="L27"/>
  <c r="I27"/>
  <c r="H27"/>
  <c r="D27"/>
  <c r="P26"/>
  <c r="O26"/>
  <c r="M26"/>
  <c r="L26"/>
  <c r="I26"/>
  <c r="H26"/>
  <c r="D26"/>
  <c r="P25"/>
  <c r="O25"/>
  <c r="M25"/>
  <c r="L25"/>
  <c r="I25"/>
  <c r="H25"/>
  <c r="D25"/>
  <c r="P24"/>
  <c r="O24"/>
  <c r="M24"/>
  <c r="L24"/>
  <c r="I24"/>
  <c r="H24"/>
  <c r="D24"/>
  <c r="P23"/>
  <c r="O23"/>
  <c r="M23"/>
  <c r="L23"/>
  <c r="I23"/>
  <c r="H23"/>
  <c r="D23"/>
  <c r="P22"/>
  <c r="O22"/>
  <c r="M22"/>
  <c r="L22"/>
  <c r="I22"/>
  <c r="H22"/>
  <c r="D22"/>
  <c r="O21"/>
  <c r="L21"/>
  <c r="I21"/>
  <c r="H21"/>
  <c r="D21"/>
  <c r="O20"/>
  <c r="L20"/>
  <c r="I20"/>
  <c r="H20"/>
  <c r="D20"/>
  <c r="P19"/>
  <c r="O19"/>
  <c r="L19"/>
  <c r="I19"/>
  <c r="H19"/>
  <c r="D19"/>
  <c r="P18"/>
  <c r="O18"/>
  <c r="L18"/>
  <c r="I18"/>
  <c r="H18"/>
  <c r="D18"/>
  <c r="P17"/>
  <c r="O17"/>
  <c r="L17"/>
  <c r="I17"/>
  <c r="H17"/>
  <c r="D17"/>
  <c r="P16"/>
  <c r="O16"/>
  <c r="L16"/>
  <c r="I16"/>
  <c r="H16"/>
  <c r="D16"/>
  <c r="P15"/>
  <c r="O15"/>
  <c r="L15"/>
  <c r="I15"/>
  <c r="H15"/>
  <c r="D15"/>
  <c r="P14"/>
  <c r="O14"/>
  <c r="L14"/>
  <c r="I14"/>
  <c r="H14"/>
  <c r="D14"/>
  <c r="P13"/>
  <c r="O13"/>
  <c r="L13"/>
  <c r="I13"/>
  <c r="H13"/>
  <c r="D13"/>
  <c r="P12"/>
  <c r="O12"/>
  <c r="L12"/>
  <c r="I12"/>
  <c r="H12"/>
  <c r="D12"/>
  <c r="O11"/>
  <c r="L11"/>
  <c r="I11"/>
  <c r="H11"/>
  <c r="D11"/>
  <c r="O10"/>
  <c r="L10"/>
  <c r="I10"/>
  <c r="H10"/>
  <c r="D10"/>
  <c r="O9"/>
  <c r="I9"/>
  <c r="H9"/>
  <c r="D9"/>
  <c r="I8"/>
  <c r="H8"/>
  <c r="D8"/>
  <c r="I7"/>
  <c r="H7"/>
  <c r="D7"/>
  <c r="I6"/>
  <c r="H6"/>
  <c r="D6"/>
  <c r="I5"/>
  <c r="H5"/>
  <c r="D5"/>
  <c r="I4"/>
  <c r="H4"/>
  <c r="D4"/>
  <c r="I3"/>
  <c r="H3"/>
  <c r="D3"/>
  <c r="I2"/>
  <c r="H2"/>
  <c r="D2"/>
  <c r="O13" i="1"/>
  <c r="O14"/>
  <c r="O15"/>
  <c r="O16"/>
  <c r="O17"/>
  <c r="O18"/>
  <c r="O19"/>
  <c r="O20"/>
  <c r="O21"/>
  <c r="O22"/>
  <c r="O23"/>
  <c r="O24"/>
  <c r="O25"/>
  <c r="O26"/>
  <c r="O27"/>
  <c r="O28"/>
  <c r="O29"/>
  <c r="O30"/>
  <c r="O31"/>
  <c r="O32"/>
  <c r="O33"/>
  <c r="O34"/>
  <c r="O35"/>
  <c r="O36"/>
  <c r="O37"/>
  <c r="O38"/>
  <c r="O39"/>
  <c r="O40"/>
  <c r="O41"/>
  <c r="O42"/>
  <c r="O43"/>
  <c r="O44"/>
  <c r="O45"/>
  <c r="O46"/>
  <c r="O47"/>
  <c r="O48"/>
  <c r="O49"/>
  <c r="O50"/>
  <c r="O51"/>
  <c r="O52"/>
  <c r="O53"/>
  <c r="O54"/>
  <c r="O55"/>
  <c r="O56"/>
  <c r="O57"/>
  <c r="O58"/>
  <c r="O59"/>
  <c r="O60"/>
  <c r="O61"/>
  <c r="O62"/>
  <c r="O63"/>
  <c r="O64"/>
  <c r="O65"/>
  <c r="O66"/>
  <c r="O67"/>
  <c r="O68"/>
  <c r="O69"/>
  <c r="O70"/>
  <c r="O71"/>
  <c r="O72"/>
  <c r="O73"/>
  <c r="O74"/>
  <c r="O75"/>
  <c r="O76"/>
  <c r="O77"/>
  <c r="O78"/>
  <c r="O79"/>
  <c r="O80"/>
  <c r="O81"/>
  <c r="O82"/>
  <c r="O83"/>
  <c r="O84"/>
  <c r="O85"/>
  <c r="O86"/>
  <c r="O87"/>
  <c r="O88"/>
  <c r="O89"/>
  <c r="O90"/>
  <c r="O91"/>
  <c r="O92"/>
  <c r="O93"/>
  <c r="O94"/>
  <c r="O95"/>
  <c r="O96"/>
  <c r="O97"/>
  <c r="O98"/>
  <c r="O99"/>
  <c r="O100"/>
  <c r="O101"/>
  <c r="O102"/>
  <c r="O103"/>
  <c r="O104"/>
  <c r="O105"/>
  <c r="O106"/>
  <c r="O107"/>
  <c r="O108"/>
  <c r="O109"/>
  <c r="O110"/>
  <c r="O111"/>
  <c r="O112"/>
  <c r="O113"/>
  <c r="O114"/>
  <c r="O115"/>
  <c r="O116"/>
  <c r="O117"/>
  <c r="O118"/>
  <c r="O119"/>
  <c r="O120"/>
  <c r="O121"/>
  <c r="O122"/>
  <c r="O123"/>
  <c r="O124"/>
  <c r="O125"/>
  <c r="O126"/>
  <c r="O127"/>
  <c r="O128"/>
  <c r="O129"/>
  <c r="O130"/>
  <c r="O131"/>
  <c r="O132"/>
  <c r="O133"/>
  <c r="O134"/>
  <c r="O135"/>
  <c r="O136"/>
  <c r="O137"/>
  <c r="O138"/>
  <c r="O139"/>
  <c r="O140"/>
  <c r="O141"/>
  <c r="O142"/>
  <c r="O143"/>
  <c r="O144"/>
  <c r="O145"/>
  <c r="O146"/>
  <c r="O147"/>
  <c r="O148"/>
  <c r="O149"/>
  <c r="O150"/>
  <c r="O151"/>
  <c r="O152"/>
  <c r="O153"/>
  <c r="O154"/>
  <c r="O155"/>
  <c r="O156"/>
  <c r="O157"/>
  <c r="O158"/>
  <c r="O159"/>
  <c r="O160"/>
  <c r="O161"/>
  <c r="O162"/>
  <c r="O163"/>
  <c r="O164"/>
  <c r="O165"/>
  <c r="O166"/>
  <c r="O167"/>
  <c r="O168"/>
  <c r="O169"/>
  <c r="O170"/>
  <c r="O171"/>
  <c r="O172"/>
  <c r="O173"/>
  <c r="O174"/>
  <c r="O175"/>
  <c r="O176"/>
  <c r="O177"/>
  <c r="O178"/>
  <c r="O179"/>
  <c r="O180"/>
  <c r="O181"/>
  <c r="O182"/>
  <c r="O183"/>
  <c r="O184"/>
  <c r="O185"/>
  <c r="O186"/>
  <c r="O187"/>
  <c r="O188"/>
  <c r="O189"/>
  <c r="O190"/>
  <c r="O191"/>
  <c r="O192"/>
  <c r="O193"/>
  <c r="O194"/>
  <c r="O195"/>
  <c r="O196"/>
  <c r="O197"/>
  <c r="O198"/>
  <c r="O199"/>
  <c r="O200"/>
  <c r="O201"/>
  <c r="O202"/>
  <c r="O203"/>
  <c r="O204"/>
  <c r="O205"/>
  <c r="O206"/>
  <c r="O207"/>
  <c r="O208"/>
  <c r="O209"/>
  <c r="O210"/>
  <c r="O211"/>
  <c r="O212"/>
  <c r="O213"/>
  <c r="O214"/>
  <c r="O215"/>
  <c r="O216"/>
  <c r="O217"/>
  <c r="O218"/>
  <c r="O219"/>
  <c r="O220"/>
  <c r="O221"/>
  <c r="O222"/>
  <c r="O223"/>
  <c r="O224"/>
  <c r="O225"/>
  <c r="O226"/>
  <c r="O227"/>
  <c r="O228"/>
  <c r="O229"/>
  <c r="O230"/>
  <c r="O231"/>
  <c r="O232"/>
  <c r="O233"/>
  <c r="O234"/>
  <c r="O235"/>
  <c r="O236"/>
  <c r="O237"/>
  <c r="O238"/>
  <c r="O239"/>
  <c r="O240"/>
  <c r="O241"/>
  <c r="O242"/>
  <c r="O243"/>
  <c r="O244"/>
  <c r="O245"/>
  <c r="O246"/>
  <c r="O247"/>
  <c r="O248"/>
  <c r="O249"/>
  <c r="O250"/>
  <c r="O251"/>
  <c r="O252"/>
  <c r="O253"/>
  <c r="O254"/>
  <c r="O255"/>
  <c r="O256"/>
  <c r="O257"/>
  <c r="O258"/>
  <c r="O259"/>
  <c r="O260"/>
  <c r="O261"/>
  <c r="O262"/>
  <c r="O263"/>
  <c r="O264"/>
  <c r="O265"/>
  <c r="O266"/>
  <c r="O267"/>
  <c r="O268"/>
  <c r="O269"/>
  <c r="O270"/>
  <c r="O271"/>
  <c r="O272"/>
  <c r="O273"/>
  <c r="O274"/>
  <c r="O275"/>
  <c r="O276"/>
  <c r="O277"/>
  <c r="O278"/>
  <c r="O279"/>
  <c r="O280"/>
  <c r="O281"/>
  <c r="O282"/>
  <c r="O283"/>
  <c r="O284"/>
  <c r="O285"/>
  <c r="O286"/>
  <c r="O287"/>
  <c r="O288"/>
  <c r="O289"/>
  <c r="O290"/>
  <c r="O291"/>
  <c r="O292"/>
  <c r="O293"/>
  <c r="O294"/>
  <c r="O295"/>
  <c r="O296"/>
  <c r="O297"/>
  <c r="O298"/>
  <c r="O299"/>
  <c r="O300"/>
  <c r="O301"/>
  <c r="O302"/>
  <c r="O303"/>
  <c r="O304"/>
  <c r="O305"/>
  <c r="O306"/>
  <c r="O307"/>
  <c r="O308"/>
  <c r="O309"/>
  <c r="O310"/>
  <c r="O311"/>
  <c r="O12"/>
  <c r="O11"/>
  <c r="L12"/>
  <c r="L13"/>
  <c r="L15"/>
  <c r="L16"/>
  <c r="L17"/>
  <c r="L18"/>
  <c r="L19"/>
  <c r="L20"/>
  <c r="L21"/>
  <c r="L22"/>
  <c r="L23"/>
  <c r="L24"/>
  <c r="L25"/>
  <c r="L26"/>
  <c r="L27"/>
  <c r="L28"/>
  <c r="L29"/>
  <c r="L30"/>
  <c r="L31"/>
  <c r="L32"/>
  <c r="L33"/>
  <c r="L34"/>
  <c r="L35"/>
  <c r="L36"/>
  <c r="L37"/>
  <c r="L38"/>
  <c r="L39"/>
  <c r="L40"/>
  <c r="L41"/>
  <c r="L42"/>
  <c r="L43"/>
  <c r="L44"/>
  <c r="L45"/>
  <c r="L46"/>
  <c r="L47"/>
  <c r="L48"/>
  <c r="L49"/>
  <c r="L50"/>
  <c r="L51"/>
  <c r="L52"/>
  <c r="L53"/>
  <c r="L54"/>
  <c r="L55"/>
  <c r="L56"/>
  <c r="L57"/>
  <c r="L58"/>
  <c r="L59"/>
  <c r="L60"/>
  <c r="L61"/>
  <c r="L62"/>
  <c r="L63"/>
  <c r="L64"/>
  <c r="L65"/>
  <c r="L66"/>
  <c r="L67"/>
  <c r="L68"/>
  <c r="L69"/>
  <c r="L70"/>
  <c r="L71"/>
  <c r="L72"/>
  <c r="L73"/>
  <c r="L74"/>
  <c r="L75"/>
  <c r="L76"/>
  <c r="L77"/>
  <c r="L78"/>
  <c r="L79"/>
  <c r="L80"/>
  <c r="L81"/>
  <c r="L82"/>
  <c r="L83"/>
  <c r="L84"/>
  <c r="L85"/>
  <c r="L86"/>
  <c r="L87"/>
  <c r="L88"/>
  <c r="L89"/>
  <c r="L90"/>
  <c r="L91"/>
  <c r="L92"/>
  <c r="L93"/>
  <c r="L94"/>
  <c r="L95"/>
  <c r="L96"/>
  <c r="L97"/>
  <c r="L98"/>
  <c r="L99"/>
  <c r="L100"/>
  <c r="L101"/>
  <c r="L102"/>
  <c r="L103"/>
  <c r="L104"/>
  <c r="L105"/>
  <c r="L106"/>
  <c r="L107"/>
  <c r="L108"/>
  <c r="L109"/>
  <c r="L110"/>
  <c r="L111"/>
  <c r="L112"/>
  <c r="L113"/>
  <c r="L114"/>
  <c r="L115"/>
  <c r="L116"/>
  <c r="L117"/>
  <c r="L118"/>
  <c r="L119"/>
  <c r="L120"/>
  <c r="L121"/>
  <c r="L122"/>
  <c r="L123"/>
  <c r="L124"/>
  <c r="L125"/>
  <c r="L126"/>
  <c r="L127"/>
  <c r="L128"/>
  <c r="L129"/>
  <c r="L130"/>
  <c r="L131"/>
  <c r="L132"/>
  <c r="L133"/>
  <c r="L134"/>
  <c r="L135"/>
  <c r="L136"/>
  <c r="L137"/>
  <c r="L138"/>
  <c r="L139"/>
  <c r="L140"/>
  <c r="L141"/>
  <c r="L142"/>
  <c r="L143"/>
  <c r="L144"/>
  <c r="L145"/>
  <c r="L146"/>
  <c r="L147"/>
  <c r="L148"/>
  <c r="L149"/>
  <c r="L150"/>
  <c r="L151"/>
  <c r="L152"/>
  <c r="L153"/>
  <c r="L154"/>
  <c r="L155"/>
  <c r="L156"/>
  <c r="L157"/>
  <c r="L158"/>
  <c r="L159"/>
  <c r="L160"/>
  <c r="L161"/>
  <c r="L162"/>
  <c r="L163"/>
  <c r="L164"/>
  <c r="L165"/>
  <c r="L166"/>
  <c r="L167"/>
  <c r="L168"/>
  <c r="L169"/>
  <c r="L170"/>
  <c r="L171"/>
  <c r="L172"/>
  <c r="L173"/>
  <c r="L174"/>
  <c r="L175"/>
  <c r="L176"/>
  <c r="L177"/>
  <c r="L178"/>
  <c r="L179"/>
  <c r="L180"/>
  <c r="L181"/>
  <c r="L182"/>
  <c r="L183"/>
  <c r="L184"/>
  <c r="L185"/>
  <c r="L186"/>
  <c r="L187"/>
  <c r="L188"/>
  <c r="L189"/>
  <c r="L190"/>
  <c r="L191"/>
  <c r="L192"/>
  <c r="L193"/>
  <c r="L194"/>
  <c r="L195"/>
  <c r="L196"/>
  <c r="L197"/>
  <c r="L198"/>
  <c r="L199"/>
  <c r="L200"/>
  <c r="L201"/>
  <c r="L202"/>
  <c r="L203"/>
  <c r="L204"/>
  <c r="L205"/>
  <c r="L206"/>
  <c r="L207"/>
  <c r="L208"/>
  <c r="L209"/>
  <c r="L210"/>
  <c r="L211"/>
  <c r="L212"/>
  <c r="L213"/>
  <c r="L214"/>
  <c r="L215"/>
  <c r="L216"/>
  <c r="L217"/>
  <c r="L218"/>
  <c r="L219"/>
  <c r="L220"/>
  <c r="L221"/>
  <c r="L222"/>
  <c r="L223"/>
  <c r="L224"/>
  <c r="L225"/>
  <c r="L226"/>
  <c r="L227"/>
  <c r="L228"/>
  <c r="L229"/>
  <c r="L230"/>
  <c r="L231"/>
  <c r="L232"/>
  <c r="L233"/>
  <c r="L234"/>
  <c r="L235"/>
  <c r="L236"/>
  <c r="L237"/>
  <c r="L238"/>
  <c r="L239"/>
  <c r="L240"/>
  <c r="L241"/>
  <c r="L242"/>
  <c r="L243"/>
  <c r="L244"/>
  <c r="L245"/>
  <c r="L246"/>
  <c r="L247"/>
  <c r="L248"/>
  <c r="L249"/>
  <c r="L250"/>
  <c r="L251"/>
  <c r="L252"/>
  <c r="L253"/>
  <c r="L254"/>
  <c r="L255"/>
  <c r="L256"/>
  <c r="L257"/>
  <c r="L258"/>
  <c r="L259"/>
  <c r="L260"/>
  <c r="L261"/>
  <c r="L262"/>
  <c r="L263"/>
  <c r="L264"/>
  <c r="L265"/>
  <c r="L266"/>
  <c r="L267"/>
  <c r="L268"/>
  <c r="L269"/>
  <c r="L270"/>
  <c r="L271"/>
  <c r="L272"/>
  <c r="L273"/>
  <c r="L274"/>
  <c r="L275"/>
  <c r="L276"/>
  <c r="L277"/>
  <c r="L278"/>
  <c r="L279"/>
  <c r="L280"/>
  <c r="L281"/>
  <c r="L282"/>
  <c r="L283"/>
  <c r="L284"/>
  <c r="L285"/>
  <c r="L286"/>
  <c r="L287"/>
  <c r="L288"/>
  <c r="L289"/>
  <c r="L290"/>
  <c r="L291"/>
  <c r="L292"/>
  <c r="L293"/>
  <c r="L294"/>
  <c r="L295"/>
  <c r="L296"/>
  <c r="L297"/>
  <c r="L298"/>
  <c r="L299"/>
  <c r="L300"/>
  <c r="L301"/>
  <c r="L302"/>
  <c r="L303"/>
  <c r="L304"/>
  <c r="L305"/>
  <c r="L306"/>
  <c r="L307"/>
  <c r="L308"/>
  <c r="L309"/>
  <c r="L310"/>
  <c r="L14"/>
  <c r="H12"/>
  <c r="H147" l="1"/>
  <c r="I147"/>
  <c r="N147"/>
  <c r="P147"/>
  <c r="H148"/>
  <c r="I148"/>
  <c r="N148"/>
  <c r="P148"/>
  <c r="H149"/>
  <c r="I149"/>
  <c r="N149"/>
  <c r="P149"/>
  <c r="H150"/>
  <c r="I150"/>
  <c r="N150"/>
  <c r="P150"/>
  <c r="H151"/>
  <c r="I151"/>
  <c r="N151"/>
  <c r="P151"/>
  <c r="H152"/>
  <c r="I152"/>
  <c r="N152"/>
  <c r="P152"/>
  <c r="H153"/>
  <c r="I153"/>
  <c r="N153"/>
  <c r="P153"/>
  <c r="H154"/>
  <c r="I154"/>
  <c r="N154"/>
  <c r="P154"/>
  <c r="H155"/>
  <c r="I155"/>
  <c r="N155"/>
  <c r="P155"/>
  <c r="H156"/>
  <c r="I156"/>
  <c r="N156"/>
  <c r="P156"/>
  <c r="H157"/>
  <c r="I157"/>
  <c r="N157"/>
  <c r="P157"/>
  <c r="H158"/>
  <c r="I158"/>
  <c r="N158"/>
  <c r="P158"/>
  <c r="H159"/>
  <c r="I159"/>
  <c r="N159"/>
  <c r="P159"/>
  <c r="H160"/>
  <c r="I160"/>
  <c r="N160"/>
  <c r="P160"/>
  <c r="H161"/>
  <c r="I161"/>
  <c r="N161"/>
  <c r="P161"/>
  <c r="H162"/>
  <c r="I162"/>
  <c r="N162"/>
  <c r="P162"/>
  <c r="H163"/>
  <c r="I163"/>
  <c r="N163"/>
  <c r="P163"/>
  <c r="H164"/>
  <c r="I164"/>
  <c r="N164"/>
  <c r="P164"/>
  <c r="H165"/>
  <c r="I165"/>
  <c r="N165"/>
  <c r="P165"/>
  <c r="H166"/>
  <c r="I166"/>
  <c r="N166"/>
  <c r="P166"/>
  <c r="H167"/>
  <c r="I167"/>
  <c r="N167"/>
  <c r="P167"/>
  <c r="H168"/>
  <c r="I168"/>
  <c r="N168"/>
  <c r="P168"/>
  <c r="H169"/>
  <c r="I169"/>
  <c r="N169"/>
  <c r="P169"/>
  <c r="H170"/>
  <c r="I170"/>
  <c r="N170"/>
  <c r="P170"/>
  <c r="H171"/>
  <c r="I171"/>
  <c r="N171"/>
  <c r="P171"/>
  <c r="H172"/>
  <c r="I172"/>
  <c r="N172"/>
  <c r="P172"/>
  <c r="H173"/>
  <c r="I173"/>
  <c r="N173"/>
  <c r="P173"/>
  <c r="H174"/>
  <c r="I174"/>
  <c r="N174"/>
  <c r="P174"/>
  <c r="H175"/>
  <c r="I175"/>
  <c r="N175"/>
  <c r="P175"/>
  <c r="H176"/>
  <c r="I176"/>
  <c r="N176"/>
  <c r="P176"/>
  <c r="H177"/>
  <c r="I177"/>
  <c r="N177"/>
  <c r="P177"/>
  <c r="H178"/>
  <c r="I178"/>
  <c r="N178"/>
  <c r="P178"/>
  <c r="H179"/>
  <c r="I179"/>
  <c r="N179"/>
  <c r="P179"/>
  <c r="H180"/>
  <c r="I180"/>
  <c r="N180"/>
  <c r="P180"/>
  <c r="H181"/>
  <c r="I181"/>
  <c r="N181"/>
  <c r="P181"/>
  <c r="H182"/>
  <c r="I182"/>
  <c r="N182"/>
  <c r="P182"/>
  <c r="H183"/>
  <c r="I183"/>
  <c r="N183"/>
  <c r="P183"/>
  <c r="H292"/>
  <c r="I292"/>
  <c r="M292"/>
  <c r="P292"/>
  <c r="H293"/>
  <c r="I293"/>
  <c r="M293"/>
  <c r="P293"/>
  <c r="H294"/>
  <c r="I294"/>
  <c r="M294"/>
  <c r="P294"/>
  <c r="H295"/>
  <c r="I295"/>
  <c r="M295"/>
  <c r="P295"/>
  <c r="H296"/>
  <c r="I296"/>
  <c r="M296"/>
  <c r="P296"/>
  <c r="H297"/>
  <c r="I297"/>
  <c r="M297"/>
  <c r="P297"/>
  <c r="H298"/>
  <c r="I298"/>
  <c r="M298"/>
  <c r="P298"/>
  <c r="H299"/>
  <c r="I299"/>
  <c r="M299"/>
  <c r="P299"/>
  <c r="H300"/>
  <c r="I300"/>
  <c r="M300"/>
  <c r="P300"/>
  <c r="H301"/>
  <c r="I301"/>
  <c r="M301"/>
  <c r="P301"/>
  <c r="H302"/>
  <c r="I302"/>
  <c r="M302"/>
  <c r="P302"/>
  <c r="H303"/>
  <c r="I303"/>
  <c r="M303"/>
  <c r="P303"/>
  <c r="H304"/>
  <c r="I304"/>
  <c r="M304"/>
  <c r="P304"/>
  <c r="H305"/>
  <c r="I305"/>
  <c r="M305"/>
  <c r="P305"/>
  <c r="H306"/>
  <c r="I306"/>
  <c r="M306"/>
  <c r="P306"/>
  <c r="H307"/>
  <c r="I307"/>
  <c r="M307"/>
  <c r="P307"/>
  <c r="H308"/>
  <c r="I308"/>
  <c r="M308"/>
  <c r="P308"/>
  <c r="H309"/>
  <c r="I309"/>
  <c r="M309"/>
  <c r="P309"/>
  <c r="H310"/>
  <c r="I310"/>
  <c r="M310"/>
  <c r="P310"/>
  <c r="D305"/>
  <c r="D306"/>
  <c r="D307"/>
  <c r="D308"/>
  <c r="D309"/>
  <c r="D310"/>
  <c r="D311"/>
  <c r="D312"/>
  <c r="D313"/>
  <c r="D314"/>
  <c r="D315"/>
  <c r="D316"/>
  <c r="D317"/>
  <c r="D318"/>
  <c r="D319"/>
  <c r="D320"/>
  <c r="D321"/>
  <c r="D322"/>
  <c r="D323"/>
  <c r="D324"/>
  <c r="D325"/>
  <c r="D326"/>
  <c r="D327"/>
  <c r="D328"/>
  <c r="D329"/>
  <c r="D330"/>
  <c r="D331"/>
  <c r="D332"/>
  <c r="D333"/>
  <c r="D334"/>
  <c r="D335"/>
  <c r="D336"/>
  <c r="D337"/>
  <c r="D338"/>
  <c r="D339"/>
  <c r="D340"/>
  <c r="D341"/>
  <c r="D342"/>
  <c r="D343"/>
  <c r="D344"/>
  <c r="D345"/>
  <c r="D346"/>
  <c r="D347"/>
  <c r="D348"/>
  <c r="D349"/>
  <c r="D350"/>
  <c r="D351"/>
  <c r="D352"/>
  <c r="D353"/>
  <c r="D354"/>
  <c r="H284"/>
  <c r="I284"/>
  <c r="M284"/>
  <c r="P284"/>
  <c r="H285"/>
  <c r="I285"/>
  <c r="M285"/>
  <c r="P285"/>
  <c r="H286"/>
  <c r="I286"/>
  <c r="M286"/>
  <c r="P286"/>
  <c r="H287"/>
  <c r="I287"/>
  <c r="M287"/>
  <c r="P287"/>
  <c r="H288"/>
  <c r="I288"/>
  <c r="M288"/>
  <c r="P288"/>
  <c r="H289"/>
  <c r="I289"/>
  <c r="M289"/>
  <c r="P289"/>
  <c r="H290"/>
  <c r="I290"/>
  <c r="M290"/>
  <c r="P290"/>
  <c r="H291"/>
  <c r="I291"/>
  <c r="M291"/>
  <c r="P291"/>
  <c r="P283"/>
  <c r="E16" i="8"/>
  <c r="E22" s="1"/>
  <c r="E19"/>
  <c r="E14"/>
  <c r="H282" i="1"/>
  <c r="I282"/>
  <c r="M282"/>
  <c r="P282"/>
  <c r="H283"/>
  <c r="I283"/>
  <c r="M283"/>
  <c r="O18" i="8" l="1"/>
  <c r="O20" s="1"/>
  <c r="O23" s="1"/>
  <c r="H256" i="1"/>
  <c r="I256"/>
  <c r="M256"/>
  <c r="P256"/>
  <c r="H257"/>
  <c r="I257"/>
  <c r="M257"/>
  <c r="P257"/>
  <c r="H258"/>
  <c r="I258"/>
  <c r="M258"/>
  <c r="P258"/>
  <c r="H259"/>
  <c r="I259"/>
  <c r="M259"/>
  <c r="P259"/>
  <c r="H260"/>
  <c r="I260"/>
  <c r="M260"/>
  <c r="P260"/>
  <c r="H261"/>
  <c r="I261"/>
  <c r="M261"/>
  <c r="P261"/>
  <c r="H262"/>
  <c r="I262"/>
  <c r="M262"/>
  <c r="P262"/>
  <c r="H263"/>
  <c r="I263"/>
  <c r="M263"/>
  <c r="P263"/>
  <c r="H264"/>
  <c r="I264"/>
  <c r="M264"/>
  <c r="P264"/>
  <c r="H265"/>
  <c r="I265"/>
  <c r="M265"/>
  <c r="P265"/>
  <c r="H266"/>
  <c r="I266"/>
  <c r="M266"/>
  <c r="P266"/>
  <c r="H267"/>
  <c r="I267"/>
  <c r="M267"/>
  <c r="P267"/>
  <c r="H268"/>
  <c r="I268"/>
  <c r="M268"/>
  <c r="P268"/>
  <c r="H269"/>
  <c r="I269"/>
  <c r="M269"/>
  <c r="P269"/>
  <c r="H270"/>
  <c r="I270"/>
  <c r="M270"/>
  <c r="P270"/>
  <c r="H271"/>
  <c r="I271"/>
  <c r="M271"/>
  <c r="P271"/>
  <c r="H272"/>
  <c r="I272"/>
  <c r="M272"/>
  <c r="P272"/>
  <c r="H273"/>
  <c r="I273"/>
  <c r="M273"/>
  <c r="P273"/>
  <c r="H274"/>
  <c r="I274"/>
  <c r="M274"/>
  <c r="P274"/>
  <c r="H275"/>
  <c r="I275"/>
  <c r="M275"/>
  <c r="P275"/>
  <c r="H276"/>
  <c r="I276"/>
  <c r="M276"/>
  <c r="P276"/>
  <c r="H277"/>
  <c r="I277"/>
  <c r="M277"/>
  <c r="P277"/>
  <c r="H278"/>
  <c r="I278"/>
  <c r="M278"/>
  <c r="P278"/>
  <c r="H279"/>
  <c r="I279"/>
  <c r="M279"/>
  <c r="P279"/>
  <c r="H280"/>
  <c r="I280"/>
  <c r="M280"/>
  <c r="P280"/>
  <c r="H281"/>
  <c r="I281"/>
  <c r="M281"/>
  <c r="P281"/>
  <c r="D4"/>
  <c r="D5"/>
  <c r="D6"/>
  <c r="D7"/>
  <c r="D8"/>
  <c r="D9"/>
  <c r="D10"/>
  <c r="D11"/>
  <c r="D12"/>
  <c r="D13"/>
  <c r="D14"/>
  <c r="D15"/>
  <c r="D16"/>
  <c r="D17"/>
  <c r="D18"/>
  <c r="D19"/>
  <c r="D20"/>
  <c r="D21"/>
  <c r="D22"/>
  <c r="D23"/>
  <c r="D24"/>
  <c r="D25"/>
  <c r="D26"/>
  <c r="D27"/>
  <c r="D28"/>
  <c r="D29"/>
  <c r="D30"/>
  <c r="D31"/>
  <c r="D32"/>
  <c r="D33"/>
  <c r="D34"/>
  <c r="D35"/>
  <c r="D36"/>
  <c r="D37"/>
  <c r="D38"/>
  <c r="D39"/>
  <c r="D40"/>
  <c r="D41"/>
  <c r="D42"/>
  <c r="D43"/>
  <c r="D44"/>
  <c r="D45"/>
  <c r="D46"/>
  <c r="D47"/>
  <c r="D48"/>
  <c r="D49"/>
  <c r="D50"/>
  <c r="D51"/>
  <c r="D52"/>
  <c r="D53"/>
  <c r="D54"/>
  <c r="D55"/>
  <c r="D56"/>
  <c r="D57"/>
  <c r="D58"/>
  <c r="D59"/>
  <c r="D60"/>
  <c r="D61"/>
  <c r="D62"/>
  <c r="D63"/>
  <c r="D64"/>
  <c r="D65"/>
  <c r="D66"/>
  <c r="D67"/>
  <c r="D68"/>
  <c r="D69"/>
  <c r="D70"/>
  <c r="D71"/>
  <c r="D72"/>
  <c r="D73"/>
  <c r="D74"/>
  <c r="D75"/>
  <c r="D76"/>
  <c r="D77"/>
  <c r="D78"/>
  <c r="D79"/>
  <c r="D80"/>
  <c r="D81"/>
  <c r="D82"/>
  <c r="D83"/>
  <c r="D84"/>
  <c r="D85"/>
  <c r="D86"/>
  <c r="D87"/>
  <c r="D88"/>
  <c r="D89"/>
  <c r="D90"/>
  <c r="D91"/>
  <c r="D92"/>
  <c r="D93"/>
  <c r="D94"/>
  <c r="D95"/>
  <c r="D96"/>
  <c r="D97"/>
  <c r="D98"/>
  <c r="D99"/>
  <c r="D100"/>
  <c r="D101"/>
  <c r="D102"/>
  <c r="D103"/>
  <c r="D104"/>
  <c r="D105"/>
  <c r="D106"/>
  <c r="D107"/>
  <c r="D108"/>
  <c r="D109"/>
  <c r="D110"/>
  <c r="D111"/>
  <c r="D112"/>
  <c r="D113"/>
  <c r="D114"/>
  <c r="D115"/>
  <c r="D116"/>
  <c r="D117"/>
  <c r="D118"/>
  <c r="D119"/>
  <c r="D120"/>
  <c r="D121"/>
  <c r="D122"/>
  <c r="D123"/>
  <c r="D124"/>
  <c r="D125"/>
  <c r="D126"/>
  <c r="D127"/>
  <c r="D128"/>
  <c r="D129"/>
  <c r="D130"/>
  <c r="D131"/>
  <c r="D132"/>
  <c r="D133"/>
  <c r="D134"/>
  <c r="D135"/>
  <c r="D136"/>
  <c r="D137"/>
  <c r="D138"/>
  <c r="D139"/>
  <c r="D140"/>
  <c r="D141"/>
  <c r="D142"/>
  <c r="D143"/>
  <c r="D144"/>
  <c r="D145"/>
  <c r="D146"/>
  <c r="D147"/>
  <c r="D148"/>
  <c r="D149"/>
  <c r="D150"/>
  <c r="D151"/>
  <c r="D152"/>
  <c r="D153"/>
  <c r="D154"/>
  <c r="D155"/>
  <c r="D156"/>
  <c r="D157"/>
  <c r="D158"/>
  <c r="D159"/>
  <c r="D160"/>
  <c r="D161"/>
  <c r="D162"/>
  <c r="D163"/>
  <c r="D164"/>
  <c r="D165"/>
  <c r="D166"/>
  <c r="D167"/>
  <c r="D168"/>
  <c r="D169"/>
  <c r="D170"/>
  <c r="D171"/>
  <c r="D172"/>
  <c r="D173"/>
  <c r="D174"/>
  <c r="D175"/>
  <c r="D176"/>
  <c r="D177"/>
  <c r="D178"/>
  <c r="D179"/>
  <c r="D180"/>
  <c r="D181"/>
  <c r="D182"/>
  <c r="D183"/>
  <c r="D184"/>
  <c r="D185"/>
  <c r="D186"/>
  <c r="D187"/>
  <c r="D188"/>
  <c r="D189"/>
  <c r="D190"/>
  <c r="D191"/>
  <c r="D192"/>
  <c r="D193"/>
  <c r="D194"/>
  <c r="D195"/>
  <c r="D196"/>
  <c r="D197"/>
  <c r="D198"/>
  <c r="D199"/>
  <c r="D200"/>
  <c r="D201"/>
  <c r="D202"/>
  <c r="D203"/>
  <c r="D204"/>
  <c r="D205"/>
  <c r="D206"/>
  <c r="D207"/>
  <c r="D208"/>
  <c r="D209"/>
  <c r="D210"/>
  <c r="D211"/>
  <c r="D212"/>
  <c r="D213"/>
  <c r="D214"/>
  <c r="D215"/>
  <c r="D216"/>
  <c r="D217"/>
  <c r="D218"/>
  <c r="D219"/>
  <c r="D220"/>
  <c r="D221"/>
  <c r="D222"/>
  <c r="D223"/>
  <c r="D224"/>
  <c r="D225"/>
  <c r="D226"/>
  <c r="D227"/>
  <c r="D228"/>
  <c r="D229"/>
  <c r="D230"/>
  <c r="D231"/>
  <c r="D232"/>
  <c r="D233"/>
  <c r="D234"/>
  <c r="D235"/>
  <c r="D236"/>
  <c r="D237"/>
  <c r="D238"/>
  <c r="D239"/>
  <c r="D240"/>
  <c r="D241"/>
  <c r="D242"/>
  <c r="D243"/>
  <c r="D244"/>
  <c r="D245"/>
  <c r="D246"/>
  <c r="D247"/>
  <c r="D248"/>
  <c r="D249"/>
  <c r="D250"/>
  <c r="D251"/>
  <c r="D252"/>
  <c r="D253"/>
  <c r="D254"/>
  <c r="D255"/>
  <c r="D256"/>
  <c r="D257"/>
  <c r="D258"/>
  <c r="D259"/>
  <c r="D261"/>
  <c r="D262"/>
  <c r="D263"/>
  <c r="D264"/>
  <c r="D265"/>
  <c r="D266"/>
  <c r="D267"/>
  <c r="D268"/>
  <c r="D269"/>
  <c r="D270"/>
  <c r="D271"/>
  <c r="D272"/>
  <c r="D273"/>
  <c r="D274"/>
  <c r="D275"/>
  <c r="D276"/>
  <c r="D277"/>
  <c r="D278"/>
  <c r="D279"/>
  <c r="D280"/>
  <c r="D281"/>
  <c r="D282"/>
  <c r="D283"/>
  <c r="D284"/>
  <c r="D285"/>
  <c r="D286"/>
  <c r="D287"/>
  <c r="D288"/>
  <c r="D289"/>
  <c r="D290"/>
  <c r="D291"/>
  <c r="D292"/>
  <c r="D293"/>
  <c r="D294"/>
  <c r="D295"/>
  <c r="D296"/>
  <c r="D297"/>
  <c r="D298"/>
  <c r="D299"/>
  <c r="D300"/>
  <c r="D301"/>
  <c r="D302"/>
  <c r="D303"/>
  <c r="D304"/>
  <c r="D260"/>
  <c r="I11" i="5"/>
  <c r="I10"/>
  <c r="I5"/>
  <c r="I6"/>
  <c r="I7"/>
  <c r="I8"/>
  <c r="I9"/>
  <c r="I4"/>
  <c r="P54" i="1"/>
  <c r="H141"/>
  <c r="I141"/>
  <c r="N141"/>
  <c r="P141"/>
  <c r="H142"/>
  <c r="I142"/>
  <c r="N142"/>
  <c r="P142"/>
  <c r="H143"/>
  <c r="I143"/>
  <c r="N143"/>
  <c r="P143"/>
  <c r="H144"/>
  <c r="I144"/>
  <c r="N144"/>
  <c r="P144"/>
  <c r="H145"/>
  <c r="I145"/>
  <c r="N145"/>
  <c r="P145"/>
  <c r="H146"/>
  <c r="I146"/>
  <c r="N146"/>
  <c r="P146"/>
  <c r="H137"/>
  <c r="I137"/>
  <c r="N137"/>
  <c r="P137"/>
  <c r="H136"/>
  <c r="I136"/>
  <c r="N136"/>
  <c r="P136"/>
  <c r="H133"/>
  <c r="I133"/>
  <c r="N133"/>
  <c r="P133"/>
  <c r="H134"/>
  <c r="I134"/>
  <c r="N134"/>
  <c r="P134"/>
  <c r="H135"/>
  <c r="I135"/>
  <c r="N135"/>
  <c r="P135"/>
  <c r="H132"/>
  <c r="I132"/>
  <c r="N132"/>
  <c r="P132"/>
  <c r="N82"/>
  <c r="N83"/>
  <c r="N84"/>
  <c r="N85"/>
  <c r="N86"/>
  <c r="N87"/>
  <c r="N88"/>
  <c r="N89"/>
  <c r="N90"/>
  <c r="N91"/>
  <c r="N92"/>
  <c r="N93"/>
  <c r="N94"/>
  <c r="N95"/>
  <c r="N96"/>
  <c r="N97"/>
  <c r="N98"/>
  <c r="N99"/>
  <c r="N100"/>
  <c r="N101"/>
  <c r="N102"/>
  <c r="N103"/>
  <c r="N104"/>
  <c r="N105"/>
  <c r="N106"/>
  <c r="N107"/>
  <c r="N108"/>
  <c r="N109"/>
  <c r="N110"/>
  <c r="N111"/>
  <c r="N112"/>
  <c r="N113"/>
  <c r="N114"/>
  <c r="N115"/>
  <c r="N116"/>
  <c r="N117"/>
  <c r="N118"/>
  <c r="N119"/>
  <c r="N120"/>
  <c r="N121"/>
  <c r="N122"/>
  <c r="N123"/>
  <c r="N124"/>
  <c r="N125"/>
  <c r="N126"/>
  <c r="N127"/>
  <c r="N128"/>
  <c r="N129"/>
  <c r="N130"/>
  <c r="N131"/>
  <c r="H43" i="2"/>
  <c r="H44"/>
  <c r="H45"/>
  <c r="H46"/>
  <c r="H47"/>
  <c r="H48"/>
  <c r="I42"/>
  <c r="H42"/>
  <c r="N65" i="1"/>
  <c r="N66"/>
  <c r="N67"/>
  <c r="N68"/>
  <c r="N69"/>
  <c r="N70"/>
  <c r="N71"/>
  <c r="N74"/>
  <c r="N75"/>
  <c r="N76"/>
  <c r="N77"/>
  <c r="N78"/>
  <c r="N79"/>
  <c r="N80"/>
  <c r="N81"/>
  <c r="N64"/>
  <c r="P102"/>
  <c r="P103"/>
  <c r="P104"/>
  <c r="P89"/>
  <c r="P90"/>
  <c r="P64"/>
  <c r="P65"/>
  <c r="P66"/>
  <c r="P67"/>
  <c r="P68"/>
  <c r="P69"/>
  <c r="P70"/>
  <c r="P71"/>
  <c r="P74"/>
  <c r="P75"/>
  <c r="P76"/>
  <c r="P77"/>
  <c r="P78"/>
  <c r="P79"/>
  <c r="P80"/>
  <c r="P81"/>
  <c r="P24" l="1"/>
  <c r="P25"/>
  <c r="P26"/>
  <c r="P27"/>
  <c r="P28"/>
  <c r="P34"/>
  <c r="P35"/>
  <c r="P36"/>
  <c r="P37"/>
  <c r="P38"/>
  <c r="P44"/>
  <c r="P45"/>
  <c r="P46"/>
  <c r="P47"/>
  <c r="P48"/>
  <c r="P49"/>
  <c r="P50"/>
  <c r="P51"/>
  <c r="P52"/>
  <c r="P84"/>
  <c r="P85"/>
  <c r="P86"/>
  <c r="P87"/>
  <c r="P94"/>
  <c r="P95"/>
  <c r="P96"/>
  <c r="P97"/>
  <c r="P105"/>
  <c r="P106"/>
  <c r="P107"/>
  <c r="P108"/>
  <c r="P109"/>
  <c r="P110"/>
  <c r="P111"/>
  <c r="P112"/>
  <c r="P113"/>
  <c r="P114"/>
  <c r="P115"/>
  <c r="P116"/>
  <c r="P117"/>
  <c r="P118"/>
  <c r="P119"/>
  <c r="P120"/>
  <c r="P121"/>
  <c r="P122"/>
  <c r="P123"/>
  <c r="P124"/>
  <c r="P125"/>
  <c r="P126"/>
  <c r="P127"/>
  <c r="P128"/>
  <c r="P129"/>
  <c r="P130"/>
  <c r="P131"/>
  <c r="P184"/>
  <c r="P185"/>
  <c r="P186"/>
  <c r="P187"/>
  <c r="P188"/>
  <c r="P189"/>
  <c r="P190"/>
  <c r="P191"/>
  <c r="P192"/>
  <c r="P193"/>
  <c r="P194"/>
  <c r="P195"/>
  <c r="P196"/>
  <c r="P197"/>
  <c r="P198"/>
  <c r="P199"/>
  <c r="P200"/>
  <c r="P201"/>
  <c r="P202"/>
  <c r="P203"/>
  <c r="P204"/>
  <c r="P205"/>
  <c r="P206"/>
  <c r="P207"/>
  <c r="P208"/>
  <c r="P209"/>
  <c r="P210"/>
  <c r="P211"/>
  <c r="P212"/>
  <c r="P213"/>
  <c r="P214"/>
  <c r="P215"/>
  <c r="P224"/>
  <c r="P225"/>
  <c r="P226"/>
  <c r="P227"/>
  <c r="P228"/>
  <c r="P229"/>
  <c r="P230"/>
  <c r="P231"/>
  <c r="P232"/>
  <c r="P233"/>
  <c r="P234"/>
  <c r="P235"/>
  <c r="P236"/>
  <c r="P237"/>
  <c r="P238"/>
  <c r="P239"/>
  <c r="P240"/>
  <c r="P241"/>
  <c r="P242"/>
  <c r="P243"/>
  <c r="P244"/>
  <c r="P245"/>
  <c r="P246"/>
  <c r="P247"/>
  <c r="P248"/>
  <c r="P249"/>
  <c r="P250"/>
  <c r="P251"/>
  <c r="P252"/>
  <c r="P253"/>
  <c r="P254"/>
  <c r="P255"/>
  <c r="P21"/>
  <c r="P20"/>
  <c r="P19"/>
  <c r="M241"/>
  <c r="M242"/>
  <c r="M243"/>
  <c r="M244"/>
  <c r="M245"/>
  <c r="M246"/>
  <c r="M247"/>
  <c r="M248"/>
  <c r="M249"/>
  <c r="M250"/>
  <c r="M251"/>
  <c r="M252"/>
  <c r="M253"/>
  <c r="M254"/>
  <c r="M255"/>
  <c r="M240"/>
  <c r="M200"/>
  <c r="M201"/>
  <c r="M202"/>
  <c r="M203"/>
  <c r="M204"/>
  <c r="M205"/>
  <c r="M206"/>
  <c r="M207"/>
  <c r="M208"/>
  <c r="M209"/>
  <c r="M210"/>
  <c r="M211"/>
  <c r="M212"/>
  <c r="M213"/>
  <c r="M214"/>
  <c r="M215"/>
  <c r="M224"/>
  <c r="M225"/>
  <c r="M226"/>
  <c r="M227"/>
  <c r="M228"/>
  <c r="M229"/>
  <c r="M230"/>
  <c r="M231"/>
  <c r="M232"/>
  <c r="M233"/>
  <c r="M234"/>
  <c r="M235"/>
  <c r="M236"/>
  <c r="M237"/>
  <c r="M238"/>
  <c r="M239"/>
  <c r="M185"/>
  <c r="M186"/>
  <c r="M187"/>
  <c r="M188"/>
  <c r="M189"/>
  <c r="M190"/>
  <c r="M191"/>
  <c r="M192"/>
  <c r="M193"/>
  <c r="M194"/>
  <c r="M195"/>
  <c r="M196"/>
  <c r="M197"/>
  <c r="M198"/>
  <c r="M199"/>
  <c r="M184"/>
  <c r="M24"/>
  <c r="M25"/>
  <c r="M26"/>
  <c r="M27"/>
  <c r="M28"/>
  <c r="M34"/>
  <c r="M35"/>
  <c r="M36"/>
  <c r="M37"/>
  <c r="M38"/>
  <c r="H184"/>
  <c r="I184"/>
  <c r="H185"/>
  <c r="I185"/>
  <c r="H186"/>
  <c r="I186"/>
  <c r="H187"/>
  <c r="I187"/>
  <c r="H188"/>
  <c r="I188"/>
  <c r="H189"/>
  <c r="I189"/>
  <c r="H190"/>
  <c r="I190"/>
  <c r="H191"/>
  <c r="I191"/>
  <c r="H192"/>
  <c r="I192"/>
  <c r="H193"/>
  <c r="I193"/>
  <c r="H194"/>
  <c r="I194"/>
  <c r="H195"/>
  <c r="I195"/>
  <c r="H196"/>
  <c r="I196"/>
  <c r="H197"/>
  <c r="I197"/>
  <c r="H198"/>
  <c r="I198"/>
  <c r="H199"/>
  <c r="I199"/>
  <c r="H200"/>
  <c r="I200"/>
  <c r="H201"/>
  <c r="I201"/>
  <c r="H202"/>
  <c r="I202"/>
  <c r="H203"/>
  <c r="I203"/>
  <c r="H204"/>
  <c r="I204"/>
  <c r="H205"/>
  <c r="I205"/>
  <c r="H206"/>
  <c r="I206"/>
  <c r="H207"/>
  <c r="I207"/>
  <c r="H208"/>
  <c r="I208"/>
  <c r="H209"/>
  <c r="I209"/>
  <c r="H210"/>
  <c r="I210"/>
  <c r="H211"/>
  <c r="I211"/>
  <c r="H212"/>
  <c r="I212"/>
  <c r="H213"/>
  <c r="I213"/>
  <c r="H214"/>
  <c r="I214"/>
  <c r="H215"/>
  <c r="I215"/>
  <c r="H224"/>
  <c r="I224"/>
  <c r="H225"/>
  <c r="I225"/>
  <c r="H226"/>
  <c r="I226"/>
  <c r="H227"/>
  <c r="I227"/>
  <c r="H228"/>
  <c r="I228"/>
  <c r="H229"/>
  <c r="I229"/>
  <c r="H230"/>
  <c r="I230"/>
  <c r="H231"/>
  <c r="I231"/>
  <c r="H232"/>
  <c r="I232"/>
  <c r="H233"/>
  <c r="I233"/>
  <c r="H234"/>
  <c r="I234"/>
  <c r="H235"/>
  <c r="I235"/>
  <c r="H236"/>
  <c r="I236"/>
  <c r="H237"/>
  <c r="I237"/>
  <c r="H238"/>
  <c r="I238"/>
  <c r="H239"/>
  <c r="I239"/>
  <c r="H240"/>
  <c r="I240"/>
  <c r="H241"/>
  <c r="I241"/>
  <c r="H242"/>
  <c r="I242"/>
  <c r="H243"/>
  <c r="I243"/>
  <c r="H244"/>
  <c r="I244"/>
  <c r="H245"/>
  <c r="I245"/>
  <c r="H246"/>
  <c r="I246"/>
  <c r="H247"/>
  <c r="I247"/>
  <c r="H248"/>
  <c r="I248"/>
  <c r="H249"/>
  <c r="I249"/>
  <c r="H250"/>
  <c r="I250"/>
  <c r="H251"/>
  <c r="I251"/>
  <c r="H252"/>
  <c r="I252"/>
  <c r="H253"/>
  <c r="I253"/>
  <c r="H254"/>
  <c r="I254"/>
  <c r="H255"/>
  <c r="I255"/>
  <c r="P18"/>
  <c r="K105" l="1"/>
  <c r="K106"/>
  <c r="K107"/>
  <c r="K108"/>
  <c r="K109"/>
  <c r="K110"/>
  <c r="K111"/>
  <c r="K112"/>
  <c r="K113"/>
  <c r="K114"/>
  <c r="K115"/>
  <c r="K116"/>
  <c r="K117"/>
  <c r="K118"/>
  <c r="K119"/>
  <c r="K120"/>
  <c r="K121"/>
  <c r="K124"/>
  <c r="K125"/>
  <c r="K126"/>
  <c r="K127"/>
  <c r="K128"/>
  <c r="K129"/>
  <c r="K130"/>
  <c r="K131"/>
  <c r="K104"/>
  <c r="H131"/>
  <c r="I131"/>
  <c r="H130"/>
  <c r="I130"/>
  <c r="H129"/>
  <c r="I129"/>
  <c r="I38" i="2" l="1"/>
  <c r="I39"/>
  <c r="I40"/>
  <c r="I41"/>
  <c r="I43"/>
  <c r="I44"/>
  <c r="P15" i="1"/>
  <c r="P16"/>
  <c r="P17"/>
  <c r="P14"/>
  <c r="H38" i="2"/>
  <c r="H39"/>
  <c r="H40"/>
  <c r="H41"/>
  <c r="H121" i="1"/>
  <c r="I121"/>
  <c r="H120"/>
  <c r="I120"/>
  <c r="H119"/>
  <c r="I119"/>
  <c r="H118"/>
  <c r="I118"/>
  <c r="I25" i="2" l="1"/>
  <c r="I26"/>
  <c r="I27"/>
  <c r="I28"/>
  <c r="I29"/>
  <c r="I30"/>
  <c r="I31"/>
  <c r="I32"/>
  <c r="I33"/>
  <c r="I34"/>
  <c r="I35"/>
  <c r="I36"/>
  <c r="I37"/>
  <c r="H34"/>
  <c r="H35"/>
  <c r="H36"/>
  <c r="H37"/>
  <c r="H14" i="1"/>
  <c r="H4"/>
  <c r="I4"/>
  <c r="H5"/>
  <c r="I5"/>
  <c r="H6"/>
  <c r="I6"/>
  <c r="H7"/>
  <c r="I7"/>
  <c r="H8"/>
  <c r="I8"/>
  <c r="H9"/>
  <c r="I9"/>
  <c r="H10"/>
  <c r="I10"/>
  <c r="H11"/>
  <c r="I11"/>
  <c r="I12"/>
  <c r="H13"/>
  <c r="I13"/>
  <c r="I14"/>
  <c r="H15"/>
  <c r="I15"/>
  <c r="H16"/>
  <c r="I16"/>
  <c r="H17"/>
  <c r="I17"/>
  <c r="H18"/>
  <c r="I18"/>
  <c r="H19"/>
  <c r="I19"/>
  <c r="H20"/>
  <c r="I20"/>
  <c r="H21"/>
  <c r="I21"/>
  <c r="H22"/>
  <c r="I22"/>
  <c r="H23"/>
  <c r="I23"/>
  <c r="H24"/>
  <c r="I24"/>
  <c r="H25"/>
  <c r="I25"/>
  <c r="H26"/>
  <c r="I26"/>
  <c r="H27"/>
  <c r="I27"/>
  <c r="H28"/>
  <c r="I28"/>
  <c r="H29"/>
  <c r="I29"/>
  <c r="H30"/>
  <c r="I30"/>
  <c r="H31"/>
  <c r="I31"/>
  <c r="H32"/>
  <c r="I32"/>
  <c r="H33"/>
  <c r="I33"/>
  <c r="H34"/>
  <c r="I34"/>
  <c r="H35"/>
  <c r="I35"/>
  <c r="H36"/>
  <c r="I36"/>
  <c r="H37"/>
  <c r="I37"/>
  <c r="H38"/>
  <c r="I38"/>
  <c r="H39"/>
  <c r="I39"/>
  <c r="H40"/>
  <c r="I40"/>
  <c r="H41"/>
  <c r="I41"/>
  <c r="H42"/>
  <c r="I42"/>
  <c r="H43"/>
  <c r="I43"/>
  <c r="H44"/>
  <c r="I44"/>
  <c r="H45"/>
  <c r="I45"/>
  <c r="H46"/>
  <c r="I46"/>
  <c r="H47"/>
  <c r="I47"/>
  <c r="H48"/>
  <c r="I48"/>
  <c r="H49"/>
  <c r="I49"/>
  <c r="H50"/>
  <c r="I50"/>
  <c r="H51"/>
  <c r="I51"/>
  <c r="H52"/>
  <c r="I52"/>
  <c r="H53"/>
  <c r="I53"/>
  <c r="H54"/>
  <c r="I54"/>
  <c r="H55"/>
  <c r="I55"/>
  <c r="H56"/>
  <c r="I56"/>
  <c r="H57"/>
  <c r="I57"/>
  <c r="H58"/>
  <c r="I58"/>
  <c r="H59"/>
  <c r="I59"/>
  <c r="H60"/>
  <c r="I60"/>
  <c r="H61"/>
  <c r="I61"/>
  <c r="H62"/>
  <c r="I62"/>
  <c r="H63"/>
  <c r="I63"/>
  <c r="H64"/>
  <c r="I64"/>
  <c r="H65"/>
  <c r="I65"/>
  <c r="H66"/>
  <c r="I66"/>
  <c r="H67"/>
  <c r="I67"/>
  <c r="H68"/>
  <c r="I68"/>
  <c r="H69"/>
  <c r="I69"/>
  <c r="H70"/>
  <c r="I70"/>
  <c r="H71"/>
  <c r="I71"/>
  <c r="H72"/>
  <c r="I72"/>
  <c r="H73"/>
  <c r="I73"/>
  <c r="H74"/>
  <c r="I74"/>
  <c r="H75"/>
  <c r="I75"/>
  <c r="H76"/>
  <c r="I76"/>
  <c r="H77"/>
  <c r="I77"/>
  <c r="H78"/>
  <c r="I78"/>
  <c r="H79"/>
  <c r="I79"/>
  <c r="H80"/>
  <c r="I80"/>
  <c r="H81"/>
  <c r="I81"/>
  <c r="H82"/>
  <c r="I82"/>
  <c r="H83"/>
  <c r="I83"/>
  <c r="H84"/>
  <c r="I84"/>
  <c r="H85"/>
  <c r="I85"/>
  <c r="H86"/>
  <c r="I86"/>
  <c r="H87"/>
  <c r="I87"/>
  <c r="H88"/>
  <c r="I88"/>
  <c r="H89"/>
  <c r="I89"/>
  <c r="H90"/>
  <c r="I90"/>
  <c r="H91"/>
  <c r="I91"/>
  <c r="H92"/>
  <c r="I92"/>
  <c r="H93"/>
  <c r="I93"/>
  <c r="H94"/>
  <c r="I94"/>
  <c r="H95"/>
  <c r="I95"/>
  <c r="H96"/>
  <c r="I96"/>
  <c r="H97"/>
  <c r="I97"/>
  <c r="H98"/>
  <c r="I98"/>
  <c r="H99"/>
  <c r="I99"/>
  <c r="H100"/>
  <c r="I100"/>
  <c r="H101"/>
  <c r="I101"/>
  <c r="H102"/>
  <c r="I102"/>
  <c r="H103"/>
  <c r="I103"/>
  <c r="H33" i="2"/>
  <c r="H25"/>
  <c r="H26"/>
  <c r="H27"/>
  <c r="H28"/>
  <c r="H29"/>
  <c r="H30"/>
  <c r="H31"/>
  <c r="H32"/>
  <c r="H117" i="1"/>
  <c r="I117"/>
  <c r="H124"/>
  <c r="I124"/>
  <c r="H125"/>
  <c r="I125"/>
  <c r="H126"/>
  <c r="I126"/>
  <c r="H127"/>
  <c r="I127"/>
  <c r="H128"/>
  <c r="I128"/>
  <c r="I7" i="2" l="1"/>
  <c r="I8"/>
  <c r="I9"/>
  <c r="I10"/>
  <c r="I11"/>
  <c r="I12"/>
  <c r="I13"/>
  <c r="I14"/>
  <c r="I15"/>
  <c r="I16"/>
  <c r="I17"/>
  <c r="I18"/>
  <c r="I19"/>
  <c r="I20"/>
  <c r="I21"/>
  <c r="I22"/>
  <c r="I23"/>
  <c r="I24"/>
  <c r="I6"/>
  <c r="I105" i="1"/>
  <c r="I106"/>
  <c r="I107"/>
  <c r="I108"/>
  <c r="I109"/>
  <c r="I110"/>
  <c r="I111"/>
  <c r="I112"/>
  <c r="I113"/>
  <c r="I114"/>
  <c r="I115"/>
  <c r="I116"/>
  <c r="I104"/>
  <c r="H18" i="2"/>
  <c r="H19"/>
  <c r="H20"/>
  <c r="H21"/>
  <c r="H22"/>
  <c r="H23"/>
  <c r="H24"/>
  <c r="H116" i="1"/>
  <c r="H115"/>
  <c r="H105"/>
  <c r="H106"/>
  <c r="H107"/>
  <c r="H108"/>
  <c r="H109"/>
  <c r="H110"/>
  <c r="H111"/>
  <c r="H112"/>
  <c r="H113"/>
  <c r="H114"/>
  <c r="H104"/>
  <c r="H7" i="2"/>
  <c r="H8"/>
  <c r="H9"/>
  <c r="H10"/>
  <c r="H11"/>
  <c r="H12"/>
  <c r="H13"/>
  <c r="H14"/>
  <c r="H15"/>
  <c r="H16"/>
  <c r="H17"/>
  <c r="H6"/>
</calcChain>
</file>

<file path=xl/comments1.xml><?xml version="1.0" encoding="utf-8"?>
<comments xmlns="http://schemas.openxmlformats.org/spreadsheetml/2006/main">
  <authors>
    <author>Martin Kresta</author>
  </authors>
  <commentList>
    <comment ref="E285" authorId="0">
      <text>
        <r>
          <rPr>
            <b/>
            <sz val="9"/>
            <color indexed="81"/>
            <rFont val="Tahoma"/>
            <family val="2"/>
            <charset val="238"/>
          </rPr>
          <t>Martin Kresta:</t>
        </r>
        <r>
          <rPr>
            <sz val="9"/>
            <color indexed="81"/>
            <rFont val="Tahoma"/>
            <family val="2"/>
            <charset val="238"/>
          </rPr>
          <t xml:space="preserve">
just a sign of charging A.  Add a VAR_AXPERT_BAT_CURRENT</t>
        </r>
      </text>
    </comment>
    <comment ref="E298" authorId="0">
      <text>
        <r>
          <rPr>
            <b/>
            <sz val="9"/>
            <color indexed="81"/>
            <rFont val="Tahoma"/>
            <family val="2"/>
            <charset val="238"/>
          </rPr>
          <t>Martin Kresta:</t>
        </r>
        <r>
          <rPr>
            <sz val="9"/>
            <color indexed="81"/>
            <rFont val="Tahoma"/>
            <family val="2"/>
            <charset val="238"/>
          </rPr>
          <t xml:space="preserve">
= VAR_AXPERT_SOLAR_W - VAR_AXPERT_CHARGING_W</t>
        </r>
      </text>
    </comment>
  </commentList>
</comments>
</file>

<file path=xl/comments2.xml><?xml version="1.0" encoding="utf-8"?>
<comments xmlns="http://schemas.openxmlformats.org/spreadsheetml/2006/main">
  <authors>
    <author>Martin Kresta</author>
  </authors>
  <commentList>
    <comment ref="E283" authorId="0">
      <text>
        <r>
          <rPr>
            <b/>
            <sz val="9"/>
            <color indexed="81"/>
            <rFont val="Tahoma"/>
            <family val="2"/>
            <charset val="238"/>
          </rPr>
          <t>Martin Kresta:</t>
        </r>
        <r>
          <rPr>
            <sz val="9"/>
            <color indexed="81"/>
            <rFont val="Tahoma"/>
            <family val="2"/>
            <charset val="238"/>
          </rPr>
          <t xml:space="preserve">
just a sign of charging A.  Add a VAR_AXPERT_BAT_CURRENT</t>
        </r>
      </text>
    </comment>
    <comment ref="E296" authorId="0">
      <text>
        <r>
          <rPr>
            <b/>
            <sz val="9"/>
            <color indexed="81"/>
            <rFont val="Tahoma"/>
            <family val="2"/>
            <charset val="238"/>
          </rPr>
          <t>Martin Kresta:</t>
        </r>
        <r>
          <rPr>
            <sz val="9"/>
            <color indexed="81"/>
            <rFont val="Tahoma"/>
            <family val="2"/>
            <charset val="238"/>
          </rPr>
          <t xml:space="preserve">
= VAR_AXPERT_SOLAR_W - VAR_AXPERT_CHARGING_W</t>
        </r>
      </text>
    </comment>
  </commentList>
</comments>
</file>

<file path=xl/comments3.xml><?xml version="1.0" encoding="utf-8"?>
<comments xmlns="http://schemas.openxmlformats.org/spreadsheetml/2006/main">
  <authors>
    <author>Martin Kresta</author>
  </authors>
  <commentList>
    <comment ref="D26" authorId="0">
      <text>
        <r>
          <rPr>
            <b/>
            <sz val="9"/>
            <color indexed="81"/>
            <rFont val="Tahoma"/>
            <family val="2"/>
            <charset val="238"/>
          </rPr>
          <t>Martin Kresta:</t>
        </r>
        <r>
          <rPr>
            <sz val="9"/>
            <color indexed="81"/>
            <rFont val="Tahoma"/>
            <family val="2"/>
            <charset val="238"/>
          </rPr>
          <t xml:space="preserve">
just a sign of charging A.  Add a VAR_AXPERT_BAT_CURRENT</t>
        </r>
      </text>
    </comment>
    <comment ref="E31" authorId="0">
      <text>
        <r>
          <rPr>
            <b/>
            <sz val="9"/>
            <color indexed="81"/>
            <rFont val="Tahoma"/>
            <family val="2"/>
            <charset val="238"/>
          </rPr>
          <t>Martin Kresta:</t>
        </r>
        <r>
          <rPr>
            <sz val="9"/>
            <color indexed="81"/>
            <rFont val="Tahoma"/>
            <family val="2"/>
            <charset val="238"/>
          </rPr>
          <t xml:space="preserve">
= VAR_AXPERT_SOLAR_W - VAR_AXPERT_CHARGING_W</t>
        </r>
      </text>
    </comment>
  </commentList>
</comments>
</file>

<file path=xl/sharedStrings.xml><?xml version="1.0" encoding="utf-8"?>
<sst xmlns="http://schemas.openxmlformats.org/spreadsheetml/2006/main" count="907" uniqueCount="528">
  <si>
    <t>dec</t>
  </si>
  <si>
    <t>hex</t>
  </si>
  <si>
    <t>range</t>
  </si>
  <si>
    <t>TEMPERATURES</t>
  </si>
  <si>
    <t>variable</t>
  </si>
  <si>
    <t>VAR_TEMP_BOILER</t>
  </si>
  <si>
    <t>VAR_TEMP_BOILER_IN</t>
  </si>
  <si>
    <t>VAR_TEMP_BOILER_OUT</t>
  </si>
  <si>
    <t>VAR_TEMP_TANK_1</t>
  </si>
  <si>
    <t>VAR_TEMP_TANK_2</t>
  </si>
  <si>
    <t>VAR_TEMP_TANK_3</t>
  </si>
  <si>
    <t>VAR_TEMP_TANK_4</t>
  </si>
  <si>
    <t>VAR_TEMP_TANK_5</t>
  </si>
  <si>
    <t>VAR_TEMP_TANK_6</t>
  </si>
  <si>
    <t>PC app commands</t>
  </si>
  <si>
    <t xml:space="preserve">Range </t>
  </si>
  <si>
    <t xml:space="preserve">from </t>
  </si>
  <si>
    <t>to</t>
  </si>
  <si>
    <t>0x70F</t>
  </si>
  <si>
    <t>0x07FF</t>
  </si>
  <si>
    <t>0x710</t>
  </si>
  <si>
    <t>CMD_READ_VAR_REQUEST</t>
  </si>
  <si>
    <t>0x712</t>
  </si>
  <si>
    <t>0x713</t>
  </si>
  <si>
    <t>0x721</t>
  </si>
  <si>
    <t>0x722</t>
  </si>
  <si>
    <t>0x723</t>
  </si>
  <si>
    <t>0x724</t>
  </si>
  <si>
    <t>0x725</t>
  </si>
  <si>
    <t>0x726</t>
  </si>
  <si>
    <t>0x727</t>
  </si>
  <si>
    <t>0x728</t>
  </si>
  <si>
    <t>0x729</t>
  </si>
  <si>
    <t>CMD_GET_STATUS</t>
  </si>
  <si>
    <t>CMD_GET_DEV_ID</t>
  </si>
  <si>
    <t>CMD_TM_SET_POWER_OUTPUTS</t>
  </si>
  <si>
    <t>CMD_TM_SET_ELV</t>
  </si>
  <si>
    <t>CMD_TM_SET_AV</t>
  </si>
  <si>
    <t>CMD_TM_SET_SERVOVALVES</t>
  </si>
  <si>
    <t>CMD_TM_SET_PUMPS</t>
  </si>
  <si>
    <t>c</t>
  </si>
  <si>
    <t>C#</t>
  </si>
  <si>
    <t>TECHM</t>
  </si>
  <si>
    <t>0x210</t>
  </si>
  <si>
    <t>0x221</t>
  </si>
  <si>
    <t>CMD_TM_STATUS</t>
  </si>
  <si>
    <t>CMD_TM_VAR_VALUE</t>
  </si>
  <si>
    <t>0x212</t>
  </si>
  <si>
    <t>CMD_TM_DEV_ID</t>
  </si>
  <si>
    <t>VAR_TEMP_WALL_IN</t>
  </si>
  <si>
    <t>VAR_TEMP_WALL_OUT</t>
  </si>
  <si>
    <t>VAR_TEMP_BOILER_EXHAUST</t>
  </si>
  <si>
    <t>sensor</t>
  </si>
  <si>
    <t>T303</t>
  </si>
  <si>
    <t>T110</t>
  </si>
  <si>
    <t>T107</t>
  </si>
  <si>
    <t>T108</t>
  </si>
  <si>
    <t>T109</t>
  </si>
  <si>
    <t>T301</t>
  </si>
  <si>
    <t>T302</t>
  </si>
  <si>
    <t>T103</t>
  </si>
  <si>
    <t>T104</t>
  </si>
  <si>
    <t>T105</t>
  </si>
  <si>
    <t>T306</t>
  </si>
  <si>
    <t>T101</t>
  </si>
  <si>
    <t>T106</t>
  </si>
  <si>
    <t>ID</t>
  </si>
  <si>
    <t>byte 0</t>
  </si>
  <si>
    <t>byte 1</t>
  </si>
  <si>
    <t>byte 2</t>
  </si>
  <si>
    <t>byte 3</t>
  </si>
  <si>
    <t>byte 4</t>
  </si>
  <si>
    <t>byte 5</t>
  </si>
  <si>
    <t>byte 6</t>
  </si>
  <si>
    <t>byte 7</t>
  </si>
  <si>
    <t>VAR_TEMP_TECHM_BOARD</t>
  </si>
  <si>
    <t>VAR_TEMP_IOBOARD_D</t>
  </si>
  <si>
    <t>VAR_TEMP_IOBOARD_U</t>
  </si>
  <si>
    <t>VAR_TEMP_ELECON_BOARD</t>
  </si>
  <si>
    <t>VAR_TEMP_DOWNSTAIRS</t>
  </si>
  <si>
    <t>T_IOBOARD_D</t>
  </si>
  <si>
    <t>T9</t>
  </si>
  <si>
    <t>T_TECHM</t>
  </si>
  <si>
    <t>T_IOBOARD_U</t>
  </si>
  <si>
    <t>T_ELECON</t>
  </si>
  <si>
    <t>0x777</t>
  </si>
  <si>
    <t>CMD_MASTER_HB</t>
  </si>
  <si>
    <t>CMD_IOD_BUTTON_STATE</t>
  </si>
  <si>
    <t>0x101</t>
  </si>
  <si>
    <t>0x102</t>
  </si>
  <si>
    <t>CMD_IOU_BUTTON_STATE</t>
  </si>
  <si>
    <t>BtnID</t>
  </si>
  <si>
    <t>Board</t>
  </si>
  <si>
    <t>DI</t>
  </si>
  <si>
    <t>IOBOARD_D</t>
  </si>
  <si>
    <t>IOBOARD_U</t>
  </si>
  <si>
    <t>Location</t>
  </si>
  <si>
    <t>Loznice P</t>
  </si>
  <si>
    <t>Loznice L</t>
  </si>
  <si>
    <t xml:space="preserve">Vstup </t>
  </si>
  <si>
    <t>-</t>
  </si>
  <si>
    <t>Koupelna P</t>
  </si>
  <si>
    <t>Koupelna L</t>
  </si>
  <si>
    <t>Chodba P</t>
  </si>
  <si>
    <t>Chodba L</t>
  </si>
  <si>
    <t>Postel P</t>
  </si>
  <si>
    <t>Postel L</t>
  </si>
  <si>
    <t>Terasa P</t>
  </si>
  <si>
    <t>Terasa L</t>
  </si>
  <si>
    <t>Schodiste P</t>
  </si>
  <si>
    <t>Schodiste L</t>
  </si>
  <si>
    <t>Pokoj P</t>
  </si>
  <si>
    <t>Pokoj L</t>
  </si>
  <si>
    <t>OutputId</t>
  </si>
  <si>
    <t>OUT</t>
  </si>
  <si>
    <t>Light</t>
  </si>
  <si>
    <t>ELECON</t>
  </si>
  <si>
    <t>Podkrovi zapad</t>
  </si>
  <si>
    <t>Podkrovi vychod 1</t>
  </si>
  <si>
    <t>Umyvadlo</t>
  </si>
  <si>
    <t>Kuch. Linka</t>
  </si>
  <si>
    <t>WC ventil</t>
  </si>
  <si>
    <t>KCOV cerpadlo</t>
  </si>
  <si>
    <t>Kuchyn</t>
  </si>
  <si>
    <t>Jidelna</t>
  </si>
  <si>
    <t>Obyvak</t>
  </si>
  <si>
    <t>Schody</t>
  </si>
  <si>
    <t>Loznice Sever</t>
  </si>
  <si>
    <t>Loznice Jih</t>
  </si>
  <si>
    <t>Buttons</t>
  </si>
  <si>
    <t>Podstupne</t>
  </si>
  <si>
    <t>Koupelna (sprcha)</t>
  </si>
  <si>
    <t>Chodba + Predsin</t>
  </si>
  <si>
    <t>Kuchyn linka (Kuch C)</t>
  </si>
  <si>
    <t>Kuchyn - nezapojeno</t>
  </si>
  <si>
    <t>Kuch B P</t>
  </si>
  <si>
    <t>Kuch B L</t>
  </si>
  <si>
    <t>VAR_BAT_SOC</t>
  </si>
  <si>
    <t>VAR_BAT_VOLTAGE_V10</t>
  </si>
  <si>
    <t>VAR_CHARGING_A10</t>
  </si>
  <si>
    <t>VAR_EL_HEATER_STATUS</t>
  </si>
  <si>
    <t>VAR_EL_HEATER_POWER</t>
  </si>
  <si>
    <t>0x120</t>
  </si>
  <si>
    <t>VAR_NETWORK_STATUS</t>
  </si>
  <si>
    <t>VAR_TEMP_TANK_IN_H</t>
  </si>
  <si>
    <t>VAR_TEMP_TANK_OUT_H</t>
  </si>
  <si>
    <t>VAR_TEMP_RAD_H</t>
  </si>
  <si>
    <t>VAR_TEMP_RAD_C</t>
  </si>
  <si>
    <t>VAR_TEMP_TANK_IN_C</t>
  </si>
  <si>
    <t>VAR_TEMP_TANK_OUT_C</t>
  </si>
  <si>
    <t>T102</t>
  </si>
  <si>
    <t>T8</t>
  </si>
  <si>
    <t>PTC</t>
  </si>
  <si>
    <t>VAR_FLOW_COLD</t>
  </si>
  <si>
    <t>VAR_FLOW_HOT</t>
  </si>
  <si>
    <t>VAR_CONS_HOT</t>
  </si>
  <si>
    <t>VAR_CONS_COLD</t>
  </si>
  <si>
    <t>VAR_EL_HEATER_CURRENT</t>
  </si>
  <si>
    <t>VAR_EL_HEATER_CONS</t>
  </si>
  <si>
    <t>IOBOARDS</t>
  </si>
  <si>
    <t>VAR_TEMP_OFFICE</t>
  </si>
  <si>
    <t>T310</t>
  </si>
  <si>
    <t>T2</t>
  </si>
  <si>
    <t>T3</t>
  </si>
  <si>
    <t>T7</t>
  </si>
  <si>
    <t>VAR_TEMP_KIDROOM</t>
  </si>
  <si>
    <t>VAR_TEMP_OUTSIDE</t>
  </si>
  <si>
    <t>T304</t>
  </si>
  <si>
    <t>VAR_BAT_CURRENT_A10</t>
  </si>
  <si>
    <t>VAR_BMS1_SOC</t>
  </si>
  <si>
    <t>VAR_BMS1_CURRENT_A10</t>
  </si>
  <si>
    <t>VAR_BMS1_VOLTAGE_V10</t>
  </si>
  <si>
    <t>VAR_BMS1_ENERGY_STORED_WH</t>
  </si>
  <si>
    <t>VAR_BMS1_TODAY_ENERGY_WH</t>
  </si>
  <si>
    <t>VAR_BMS2_SOC</t>
  </si>
  <si>
    <t>VAR_BMS2_CURRENT_A10</t>
  </si>
  <si>
    <t>VAR_BMS2_VOLTAGE_V10</t>
  </si>
  <si>
    <t>VAR_BMS2_ENERGY_STORED_WH</t>
  </si>
  <si>
    <t>VAR_BMS2_TODAY_ENERGY_WH</t>
  </si>
  <si>
    <t>VAR_MPPT_BAT_CURRENT_A10</t>
  </si>
  <si>
    <t>VAR_MPPT_BAT_VOLTAGE_V100</t>
  </si>
  <si>
    <t>VAR_MPPT_YIELD_TODAY_10WH</t>
  </si>
  <si>
    <t>VAR_MPPT_MAX_TODAY_W</t>
  </si>
  <si>
    <t>VAR_MPPT_SOLAR_POWER_W</t>
  </si>
  <si>
    <t>VAR_MPPT_SOLAR_VOLTAGE_V100</t>
  </si>
  <si>
    <t>VAR_MPPT_SOLAR_CURRENT_A10</t>
  </si>
  <si>
    <t>VAR_MPPT_SOLAR_MAX_VOLTAGE_V100</t>
  </si>
  <si>
    <t>VAR_BMS1_CELL1_MV</t>
  </si>
  <si>
    <t>VAR_BMS1_CELL2_MV</t>
  </si>
  <si>
    <t>VAR_BMS1_CELL3_MV</t>
  </si>
  <si>
    <t>VAR_BMS1_CELL4_MV</t>
  </si>
  <si>
    <t>VAR_BMS1_CELL5_MV</t>
  </si>
  <si>
    <t>VAR_BMS1_CELL6_MV</t>
  </si>
  <si>
    <t>VAR_BMS1_CELL7_MV</t>
  </si>
  <si>
    <t>VAR_BMS1_CELL8_MV</t>
  </si>
  <si>
    <t>VAR_BMS1_CELL9_MV</t>
  </si>
  <si>
    <t>VAR_BMS1_CELL10_MV</t>
  </si>
  <si>
    <t>VAR_BMS1_CELL11_MV</t>
  </si>
  <si>
    <t>VAR_BMS1_CELL12_MV</t>
  </si>
  <si>
    <t>VAR_BMS1_CELL13_MV</t>
  </si>
  <si>
    <t>VAR_BMS1_CELL14_MV</t>
  </si>
  <si>
    <t>VAR_BMS1_CELL15_MV</t>
  </si>
  <si>
    <t>VAR_BMS1_CELL16_MV</t>
  </si>
  <si>
    <t>VAR_BMS2_CELL1_MV</t>
  </si>
  <si>
    <t>VAR_BMS2_CELL2_MV</t>
  </si>
  <si>
    <t>VAR_BMS2_CELL3_MV</t>
  </si>
  <si>
    <t>VAR_BMS2_CELL4_MV</t>
  </si>
  <si>
    <t>VAR_BMS2_CELL5_MV</t>
  </si>
  <si>
    <t>VAR_BMS2_CELL6_MV</t>
  </si>
  <si>
    <t>VAR_BMS2_CELL7_MV</t>
  </si>
  <si>
    <t>VAR_BMS2_CELL8_MV</t>
  </si>
  <si>
    <t>VAR_BMS2_CELL9_MV</t>
  </si>
  <si>
    <t>VAR_BMS2_CELL10_MV</t>
  </si>
  <si>
    <t>VAR_BMS2_CELL11_MV</t>
  </si>
  <si>
    <t>VAR_BMS2_CELL12_MV</t>
  </si>
  <si>
    <t>VAR_BMS2_CELL13_MV</t>
  </si>
  <si>
    <t>VAR_BMS2_CELL14_MV</t>
  </si>
  <si>
    <t>VAR_BMS2_CELL15_MV</t>
  </si>
  <si>
    <t>VAR_BMS2_CELL16_MV</t>
  </si>
  <si>
    <t>VAR_BMS1_CELL1_C</t>
  </si>
  <si>
    <t>VAR_BMS1_CELL2_C</t>
  </si>
  <si>
    <t>VAR_BMS1_CELL3_C</t>
  </si>
  <si>
    <t>VAR_BMS1_CELL4_C</t>
  </si>
  <si>
    <t>VAR_BMS1_CELL5_C</t>
  </si>
  <si>
    <t>VAR_BMS1_CELL6_C</t>
  </si>
  <si>
    <t>VAR_BMS1_CELL7_C</t>
  </si>
  <si>
    <t>VAR_BMS1_CELL8_C</t>
  </si>
  <si>
    <t>VAR_BMS1_CELL9_C</t>
  </si>
  <si>
    <t>VAR_BMS1_CELL10_C</t>
  </si>
  <si>
    <t>VAR_BMS1_CELL11_C</t>
  </si>
  <si>
    <t>VAR_BMS1_CELL12_C</t>
  </si>
  <si>
    <t>VAR_BMS1_CELL13_C</t>
  </si>
  <si>
    <t>VAR_BMS1_CELL14_C</t>
  </si>
  <si>
    <t>VAR_BMS1_CELL15_C</t>
  </si>
  <si>
    <t>VAR_BMS1_CELL16_C</t>
  </si>
  <si>
    <t>VAR_BMS2_CELL1_C</t>
  </si>
  <si>
    <t>VAR_BMS2_CELL2_C</t>
  </si>
  <si>
    <t>VAR_BMS2_CELL3_C</t>
  </si>
  <si>
    <t>VAR_BMS2_CELL4_C</t>
  </si>
  <si>
    <t>VAR_BMS2_CELL5_C</t>
  </si>
  <si>
    <t>VAR_BMS2_CELL6_C</t>
  </si>
  <si>
    <t>VAR_BMS2_CELL7_C</t>
  </si>
  <si>
    <t>VAR_BMS2_CELL8_C</t>
  </si>
  <si>
    <t>VAR_BMS2_CELL9_C</t>
  </si>
  <si>
    <t>VAR_BMS2_CELL10_C</t>
  </si>
  <si>
    <t>VAR_BMS2_CELL11_C</t>
  </si>
  <si>
    <t>VAR_BMS2_CELL12_C</t>
  </si>
  <si>
    <t>VAR_BMS2_CELL13_C</t>
  </si>
  <si>
    <t>VAR_BMS2_CELL14_C</t>
  </si>
  <si>
    <t>VAR_BMS2_CELL15_C</t>
  </si>
  <si>
    <t>VAR_BMS2_CELL16_C</t>
  </si>
  <si>
    <t>VAR_MPPT_MAX_BAT_CURRENT_A10</t>
  </si>
  <si>
    <t>VAR_CONS_TODAY_WH</t>
  </si>
  <si>
    <t>VAR_BAT_ENERGY_WH</t>
  </si>
  <si>
    <t>VAR_LOAD_W</t>
  </si>
  <si>
    <t>Schody dole L</t>
  </si>
  <si>
    <t>Schody dole P</t>
  </si>
  <si>
    <t>1,6,2</t>
  </si>
  <si>
    <t>VAR_CONS_FRIDGE_WH</t>
  </si>
  <si>
    <t>VAR_CONS_AC5KW_WH</t>
  </si>
  <si>
    <t>VAR_CONS_AC3KW_WH</t>
  </si>
  <si>
    <t>VAR_CONS_AC300_WH</t>
  </si>
  <si>
    <t>VAR_CONS_KITCHEN_WH</t>
  </si>
  <si>
    <t>VAR_CONS_WASCHMACHINE_WH</t>
  </si>
  <si>
    <t>VAR_CONS_OTHER_WH</t>
  </si>
  <si>
    <t>VAR_CONS_TECHM_WH</t>
  </si>
  <si>
    <t>VAR_POW_AC300_W</t>
  </si>
  <si>
    <t>VAR_POW_AC3KW_W</t>
  </si>
  <si>
    <t>VAR_POW_AC5KW_W</t>
  </si>
  <si>
    <t>VAR_POW_FRIDGE_W</t>
  </si>
  <si>
    <t>VAR_POW_KITCHEN_W</t>
  </si>
  <si>
    <t>VAR_POW_WASCHMACHINE_W</t>
  </si>
  <si>
    <t>VAR_POW_OTHER_W</t>
  </si>
  <si>
    <t>VAR_POW_TECHM_W</t>
  </si>
  <si>
    <t>global ID</t>
  </si>
  <si>
    <t>VAR_HEAT_TOTAL_WH</t>
  </si>
  <si>
    <t>VAR_HEAT_HEATING_WH</t>
  </si>
  <si>
    <t>VAR_BOILER_POWER</t>
  </si>
  <si>
    <t>VAR_BOILER_HEAT</t>
  </si>
  <si>
    <t>VAR_CONS_KITCHEN_A_WH</t>
  </si>
  <si>
    <t>VAR_CONS_KITCHEN_B_WH</t>
  </si>
  <si>
    <t>VAR_POW_KITCHEN_A_W</t>
  </si>
  <si>
    <t>VAR_POW_KITCHEN_B_W</t>
  </si>
  <si>
    <t>0x110</t>
  </si>
  <si>
    <t>CMD_VAR_VALUE</t>
  </si>
  <si>
    <t>COMMON</t>
  </si>
  <si>
    <t>0x510</t>
  </si>
  <si>
    <t>CMD_RTC_SYNC</t>
  </si>
  <si>
    <t>CMD_GESTURE</t>
  </si>
  <si>
    <t>0x310</t>
  </si>
  <si>
    <t>CMD_BALANCE_INFO</t>
  </si>
  <si>
    <t>VAR_METEO_WIND_BURST</t>
  </si>
  <si>
    <t>VAR_METEO_WIND_AVG</t>
  </si>
  <si>
    <t>VAR_METEO_WIND_POW</t>
  </si>
  <si>
    <t>VAR_METEO_WIND_ENERGY</t>
  </si>
  <si>
    <t>VAR_TEMP_RECU_FC</t>
  </si>
  <si>
    <t>VAR_TEMP_RECU_FH</t>
  </si>
  <si>
    <t>VAR_TEMP_RECU_WH</t>
  </si>
  <si>
    <t>VAR_TEMP_RECU_WC</t>
  </si>
  <si>
    <t>T305</t>
  </si>
  <si>
    <t>T309</t>
  </si>
  <si>
    <t>VAR_RH_RECU_FH</t>
  </si>
  <si>
    <t>VAR_RH_RECU_WH</t>
  </si>
  <si>
    <t>VAR_CO2_RECU</t>
  </si>
  <si>
    <t>VAR_DP_RECU_F</t>
  </si>
  <si>
    <t>VAR_DP_RECU_W</t>
  </si>
  <si>
    <t>VAR_RECU_FAN_F</t>
  </si>
  <si>
    <t>VAR_RECU_FAN_W</t>
  </si>
  <si>
    <t>VAR_CURR_RECU_A</t>
  </si>
  <si>
    <t>VAR_LOAD_A100</t>
  </si>
  <si>
    <t>producers</t>
  </si>
  <si>
    <t>consumers</t>
  </si>
  <si>
    <t>all</t>
  </si>
  <si>
    <t>ID mask</t>
  </si>
  <si>
    <t>0x130</t>
  </si>
  <si>
    <t>CMD_AC_REMOTE_REQ</t>
  </si>
  <si>
    <t>define</t>
  </si>
  <si>
    <t>name</t>
  </si>
  <si>
    <t>CMD_BUTTON_STATE</t>
  </si>
  <si>
    <t>0x100</t>
  </si>
  <si>
    <t>IOBOARD_D, IOBOARD_U</t>
  </si>
  <si>
    <t>Node  ID</t>
  </si>
  <si>
    <t>board</t>
  </si>
  <si>
    <t>NODEID_IOBOARD_D</t>
  </si>
  <si>
    <t>NODEID_IOBOARD_U</t>
  </si>
  <si>
    <t>RECU</t>
  </si>
  <si>
    <t>EVSE</t>
  </si>
  <si>
    <t>0x520</t>
  </si>
  <si>
    <t>CMD_RESET_REQUEST</t>
  </si>
  <si>
    <t>0x140</t>
  </si>
  <si>
    <t>CMD_RECU_REMOTE_REQ</t>
  </si>
  <si>
    <t>byte</t>
  </si>
  <si>
    <t>duration[s]</t>
  </si>
  <si>
    <t>eRemoteReqMode</t>
  </si>
  <si>
    <t xml:space="preserve">  errm_SligtOvepressure,</t>
  </si>
  <si>
    <t xml:space="preserve">  errm_MaxOverpressure,</t>
  </si>
  <si>
    <t xml:space="preserve">  errm_SlightUnderpressure,</t>
  </si>
  <si>
    <t xml:space="preserve">  errm_MaxUnderpressure</t>
  </si>
  <si>
    <t>errm_AutoControl</t>
  </si>
  <si>
    <t>ELECON_D</t>
  </si>
  <si>
    <t>VAR_CONS_AXPERT_WH</t>
  </si>
  <si>
    <t>VAR_POW_AXPERT_W</t>
  </si>
  <si>
    <t>VAR_CONS_EVSE_WH</t>
  </si>
  <si>
    <t>VAR_CONS_WS_HEATING_WH</t>
  </si>
  <si>
    <t>workshop heating</t>
  </si>
  <si>
    <t>VAR_POW_EVSE_W</t>
  </si>
  <si>
    <t>VAR_POW_WS_HEATING_W</t>
  </si>
  <si>
    <t>VAR_TEMP_DILNA</t>
  </si>
  <si>
    <t>VAR_TEMP_AKUPACK1</t>
  </si>
  <si>
    <t>T116</t>
  </si>
  <si>
    <t>T114</t>
  </si>
  <si>
    <t>T_ELECON_D</t>
  </si>
  <si>
    <t>VAR_TEMP_BOARD_ELECON_D</t>
  </si>
  <si>
    <t>VAR_SHUNT_PCK1_CURRENT_A100</t>
  </si>
  <si>
    <t>VAR_SHUNT_PCK2_CURRENT_A100</t>
  </si>
  <si>
    <t>ELECON_D I2CEXP</t>
  </si>
  <si>
    <t>No Connector</t>
  </si>
  <si>
    <t>Vstup Kolarna L</t>
  </si>
  <si>
    <t>Vstup Kolarna P</t>
  </si>
  <si>
    <t>Dvere u sklepa L</t>
  </si>
  <si>
    <t>Dvere u sklepa P</t>
  </si>
  <si>
    <t>ELECON_D EXT Relays</t>
  </si>
  <si>
    <t>24V Svetlo Kolarna</t>
  </si>
  <si>
    <t>24V Svetlo Sklep</t>
  </si>
  <si>
    <t>12V venkovni zarovky</t>
  </si>
  <si>
    <t>12V Led pasky puda</t>
  </si>
  <si>
    <t>AC 230V Rele EVSE</t>
  </si>
  <si>
    <t>12V Vetrak Sklep</t>
  </si>
  <si>
    <t>AC 230V Rele Topeni</t>
  </si>
  <si>
    <t>Ptc_mV  = adc_vref_mv/4096 * ADC_val</t>
  </si>
  <si>
    <t xml:space="preserve">Vptc = </t>
  </si>
  <si>
    <t>Zmereeno bod:</t>
  </si>
  <si>
    <t xml:space="preserve">152,1C </t>
  </si>
  <si>
    <t xml:space="preserve">Ptc_mv = 1,295V </t>
  </si>
  <si>
    <t xml:space="preserve">Temp = 152,1 </t>
  </si>
  <si>
    <t xml:space="preserve">Rpt = </t>
  </si>
  <si>
    <t>ohm</t>
  </si>
  <si>
    <t>VRF:</t>
  </si>
  <si>
    <t>R5</t>
  </si>
  <si>
    <t xml:space="preserve">V2 = </t>
  </si>
  <si>
    <t>R1</t>
  </si>
  <si>
    <t>R2</t>
  </si>
  <si>
    <t>R3</t>
  </si>
  <si>
    <t>R4</t>
  </si>
  <si>
    <t>mV</t>
  </si>
  <si>
    <t>Ptc_mv=</t>
  </si>
  <si>
    <t>vptc=</t>
  </si>
  <si>
    <t>rpt=</t>
  </si>
  <si>
    <t xml:space="preserve">tempC = </t>
  </si>
  <si>
    <t>VAR_AXPERT_BAT_CHARGING_A</t>
  </si>
  <si>
    <t>VAR_AXPERT_BAT_DISCHARGING_A</t>
  </si>
  <si>
    <t>VAR_AXPERT_BAT_VOLTAGE_V10</t>
  </si>
  <si>
    <t>VAR_AXPERT_PVS1_W</t>
  </si>
  <si>
    <t>VAR_AXPERT_PVS1_A10</t>
  </si>
  <si>
    <t>VAR_AXPERT_PVS1_V10</t>
  </si>
  <si>
    <t>VAR_AXPERT_PVS2_W</t>
  </si>
  <si>
    <t>VAR_AXPERT_PVS2_V10</t>
  </si>
  <si>
    <t>VAR_AXPERT_PVS2_A10</t>
  </si>
  <si>
    <t>All available measured  variables</t>
  </si>
  <si>
    <t>Localy calculated values</t>
  </si>
  <si>
    <t>VAR_BATPACK1_SOC</t>
  </si>
  <si>
    <t>VAR_BATPACK1_CURRENT_A10</t>
  </si>
  <si>
    <t>VAR_BATPACK1_ENERGY_WH</t>
  </si>
  <si>
    <t>VAR_BATPACK2_SOC</t>
  </si>
  <si>
    <t>VAR_BATPACK2_CURRENT_A10</t>
  </si>
  <si>
    <t>VAR_BATPACK2_ENERGY_WH</t>
  </si>
  <si>
    <t>Globaly calculated values</t>
  </si>
  <si>
    <t>equation</t>
  </si>
  <si>
    <t xml:space="preserve"> == VAR_BATPACK2_CURRENT_A10 +  VAR_BATPACK1_CURRENT_A10</t>
  </si>
  <si>
    <t>VAR_BAT_POWER_W</t>
  </si>
  <si>
    <t>VAR_BATPACK2_POWER_W</t>
  </si>
  <si>
    <t>VAR_BATPACK1_POWER_W</t>
  </si>
  <si>
    <t xml:space="preserve"> = VAR_BATPACK1_POWER_W +  VAR_BATPACK2_POWER_W</t>
  </si>
  <si>
    <t xml:space="preserve"> == VAR_BATPACK1_ENERGY_WH + VAR_BATPACK2_ENERGY_WH</t>
  </si>
  <si>
    <t xml:space="preserve"> == VAR_BAT_ENERGY_WH/ TOTAL_CAP  * 100</t>
  </si>
  <si>
    <t>VAR_SOLAR_POWER_W</t>
  </si>
  <si>
    <t>= VAR_MPPT_SOLAR_POWER_W + VAR_AXPERT_SOLAR_W</t>
  </si>
  <si>
    <t>VAR_AXPERT_SOLAR_W</t>
  </si>
  <si>
    <t>VAR_AXPERT_DISCHARGING_W</t>
  </si>
  <si>
    <t>VAR_AXPERT_BAT_CURRENT_A</t>
  </si>
  <si>
    <t>VAR_AXPERT_LOAD_W</t>
  </si>
  <si>
    <t xml:space="preserve"> = VAR_SOLAR_POWER_W - VAR_BAT_POWER_W</t>
  </si>
  <si>
    <t>= VAR_MPPT_ENERGY_TODAY_WH + VAR_AXPERT_ENERGY_TODAY_WH</t>
  </si>
  <si>
    <t>VAR_AXPERT_ENERGY_TODAY_WH</t>
  </si>
  <si>
    <t>VAR_MPPT_ENERGY_TODAY_WH</t>
  </si>
  <si>
    <t xml:space="preserve"> = VAR_LOAD_W * TIME</t>
  </si>
  <si>
    <t>-  average battery voltage</t>
  </si>
  <si>
    <t>VAR_LVDC_VDIFF_V100</t>
  </si>
  <si>
    <t>= (VAR_BMS2_VOLTAGE_V10 - VAR_BMS1_VOLTAGE_V10) * 10</t>
  </si>
  <si>
    <t>VAR_LVDC_VDIFF_MAX</t>
  </si>
  <si>
    <t>VAR_LVDC_CURRENT_A</t>
  </si>
  <si>
    <t>= VAR_LVDC_VDIFF_V100 / R</t>
  </si>
  <si>
    <t>VAR_LVDC_LOSS_W</t>
  </si>
  <si>
    <t>= VAR_LVDC_VDIFF * VAR_LVDC_CURRENT</t>
  </si>
  <si>
    <t>VAR_LVDC_LOSS_CONS_WH</t>
  </si>
  <si>
    <t>= VAR)LVDC_LOSS_W * TIME</t>
  </si>
  <si>
    <t>VAR_AXPERT_AC_POWER_W</t>
  </si>
  <si>
    <t>VAR_AXPERT_TEMP_C</t>
  </si>
  <si>
    <t>VAR_AXPERT_BAT_POWER_W</t>
  </si>
  <si>
    <t>VAR_SOLAR_ENERGY_TODAY_10WH</t>
  </si>
  <si>
    <t>VAR_STRG1_SOC</t>
  </si>
  <si>
    <t>VAR_STRG1_POWER_W</t>
  </si>
  <si>
    <t>VAR_STRG1_CURRENT_A10</t>
  </si>
  <si>
    <t>VAR_STRG1_ENERGY_WH</t>
  </si>
  <si>
    <t>VAR_STRG1_OPT_CHARGING_A</t>
  </si>
  <si>
    <t>VAR_LLOAD1_POWER_W</t>
  </si>
  <si>
    <t>VAR_LLOAD1_CONS_WH</t>
  </si>
  <si>
    <t>VAR_LPV1_POWER_W</t>
  </si>
  <si>
    <t>VAR_LPV1_PROD_WH</t>
  </si>
  <si>
    <t>VAR_LPV1_S1_VOLTAGE_V</t>
  </si>
  <si>
    <t>VAR_LPV1_S1_CURRENT_A10</t>
  </si>
  <si>
    <t>VAR_LPV1_S1_POWER_W</t>
  </si>
  <si>
    <t>VAR_LPV1_S2_POWER_W</t>
  </si>
  <si>
    <t>VAR_LPV1_S2_CURRENT_A10</t>
  </si>
  <si>
    <t>VAR_LPV1_S2_VOLTAGE_V</t>
  </si>
  <si>
    <t>VAR_STRG2_SOC</t>
  </si>
  <si>
    <t>VAR_STRG2_POWER_W</t>
  </si>
  <si>
    <t>VAR_STRG2_ENERGY_WH</t>
  </si>
  <si>
    <t>VAR_STRG2_OPT_CHARGING_A</t>
  </si>
  <si>
    <t>VAR_LLOAD2_POWER_W</t>
  </si>
  <si>
    <t>VAR_LLOAD2_CONS_WH</t>
  </si>
  <si>
    <t>VAR_LPV2_POWER_W</t>
  </si>
  <si>
    <t>VAR_LPV2_PROD_WH</t>
  </si>
  <si>
    <t>VAR_LPV2_S2_POWER_W</t>
  </si>
  <si>
    <t>VAR_LPV2_S2_CURRENT_A20</t>
  </si>
  <si>
    <t>VAR_LPV2_S2_VOLTAGE_V</t>
  </si>
  <si>
    <t>VAR_LPV2_S1_POWER_W</t>
  </si>
  <si>
    <t>VAR_LPV2_S1_CURRENT_A20</t>
  </si>
  <si>
    <t>VAR_LPV2_S1_VOLTAGE_V</t>
  </si>
  <si>
    <t>VAR_STRG1_CAPACITY_AH</t>
  </si>
  <si>
    <t>VAR_STRG2_CAPACITY_AH</t>
  </si>
  <si>
    <t>VAR_STRG1_BALANCED_TODAY</t>
  </si>
  <si>
    <t>VAR_STRG2_BALANCED_TODAY</t>
  </si>
  <si>
    <t>VAR_STRG1_VOLTAGE_V10</t>
  </si>
  <si>
    <t>VAR_STRG2_VOLTAGE_V10</t>
  </si>
  <si>
    <t>VAR_STRG2_CURRENT_A10</t>
  </si>
  <si>
    <t>VAR_MPPT_TEMP_C</t>
  </si>
  <si>
    <t>0x620</t>
  </si>
  <si>
    <t>CMD_LOG_MSG</t>
  </si>
  <si>
    <t>VAR_CONS_TODAY_10WH</t>
  </si>
  <si>
    <t>Frame Format</t>
  </si>
  <si>
    <t>B0</t>
  </si>
  <si>
    <t>B1</t>
  </si>
  <si>
    <t>B2</t>
  </si>
  <si>
    <t>B3</t>
  </si>
  <si>
    <t>B4</t>
  </si>
  <si>
    <t>B5</t>
  </si>
  <si>
    <t>B6</t>
  </si>
  <si>
    <t>B7</t>
  </si>
  <si>
    <t>msgId</t>
  </si>
  <si>
    <t>Command specific</t>
  </si>
  <si>
    <t>0x11</t>
  </si>
  <si>
    <t>0x12</t>
  </si>
  <si>
    <t>0x13</t>
  </si>
  <si>
    <t>0x14</t>
  </si>
  <si>
    <t>Init Msg</t>
  </si>
  <si>
    <t>Segment Msg</t>
  </si>
  <si>
    <t>Segment Data (4 bytes)</t>
  </si>
  <si>
    <t>BlockNum</t>
  </si>
  <si>
    <t>SegmentNum</t>
  </si>
  <si>
    <t>Finalize Msg</t>
  </si>
  <si>
    <t>Confirm Msg</t>
  </si>
  <si>
    <t>ConfirmCode</t>
  </si>
  <si>
    <t>HWID (Uint16)</t>
  </si>
  <si>
    <t>Total size (Uint32)</t>
  </si>
  <si>
    <t>Total Rec Size (Uint32)</t>
  </si>
  <si>
    <t>Total Sent Size (Uint32)</t>
  </si>
  <si>
    <t>BlockEnd (Bool)</t>
  </si>
  <si>
    <t>Reset request(Bool)</t>
  </si>
  <si>
    <t>RecBlockCount</t>
  </si>
  <si>
    <t>SentBlockCount</t>
  </si>
  <si>
    <t>COBID</t>
  </si>
  <si>
    <t>0x63x</t>
  </si>
  <si>
    <t>0x64x</t>
  </si>
  <si>
    <t>ConfirmCodes:</t>
  </si>
  <si>
    <t>eccNoConfirm,</t>
  </si>
  <si>
    <t>eccAccept,</t>
  </si>
  <si>
    <t>eccFlashErased,</t>
  </si>
  <si>
    <t>eccInvalidBlockSize,</t>
  </si>
  <si>
    <t>eccInvalidTotalSize,</t>
  </si>
  <si>
    <t>eccBlockConfirm,</t>
  </si>
  <si>
    <t>eccTotalTransferConfirm,</t>
  </si>
  <si>
    <t>eccInvalidHwid,</t>
  </si>
  <si>
    <t>eccErrorAborted</t>
  </si>
  <si>
    <r>
      <t xml:space="preserve">Bootloader protocol for FW updates. Application code is transferred consecutivelly via standard CAN frames (8byte payload). CAN ID is 0x63x  for direction PC-&gt;Target,  and 0x64x for Target-&gt;PC. The Blocks are always same size </t>
    </r>
    <r>
      <rPr>
        <b/>
        <sz val="11"/>
        <color theme="1"/>
        <rFont val="Calibri"/>
        <family val="2"/>
        <charset val="238"/>
        <scheme val="minor"/>
      </rPr>
      <t>1024B</t>
    </r>
    <r>
      <rPr>
        <sz val="11"/>
        <color theme="1"/>
        <rFont val="Calibri"/>
        <family val="2"/>
        <charset val="238"/>
        <scheme val="minor"/>
      </rPr>
      <t xml:space="preserve">, except las block which may be shorter.  Blocks are saved to RAM, and once block is finished, they are stored to flash.   Max block count is 255.  Which means maximall transfer count is </t>
    </r>
    <r>
      <rPr>
        <b/>
        <sz val="11"/>
        <color theme="1"/>
        <rFont val="Calibri"/>
        <family val="2"/>
        <charset val="238"/>
        <scheme val="minor"/>
      </rPr>
      <t>255kB!</t>
    </r>
  </si>
  <si>
    <t>Segment Num:</t>
  </si>
  <si>
    <t>0-255</t>
  </si>
  <si>
    <t>Block Num:</t>
  </si>
</sst>
</file>

<file path=xl/styles.xml><?xml version="1.0" encoding="utf-8"?>
<styleSheet xmlns="http://schemas.openxmlformats.org/spreadsheetml/2006/main">
  <fonts count="13">
    <font>
      <sz val="11"/>
      <color theme="1"/>
      <name val="Calibri"/>
      <family val="2"/>
      <charset val="238"/>
      <scheme val="minor"/>
    </font>
    <font>
      <b/>
      <sz val="11"/>
      <color theme="1"/>
      <name val="Calibri"/>
      <family val="2"/>
      <charset val="238"/>
      <scheme val="minor"/>
    </font>
    <font>
      <sz val="11"/>
      <color rgb="FF9C0006"/>
      <name val="Calibri"/>
      <family val="2"/>
      <charset val="238"/>
      <scheme val="minor"/>
    </font>
    <font>
      <sz val="11"/>
      <color theme="1"/>
      <name val="Calibri"/>
      <family val="2"/>
      <charset val="238"/>
      <scheme val="minor"/>
    </font>
    <font>
      <sz val="11"/>
      <color rgb="FF006100"/>
      <name val="Calibri"/>
      <family val="2"/>
      <charset val="238"/>
      <scheme val="minor"/>
    </font>
    <font>
      <sz val="11"/>
      <color rgb="FF9C6500"/>
      <name val="Calibri"/>
      <family val="2"/>
      <charset val="238"/>
      <scheme val="minor"/>
    </font>
    <font>
      <sz val="11"/>
      <color theme="0"/>
      <name val="Calibri"/>
      <family val="2"/>
      <charset val="238"/>
      <scheme val="minor"/>
    </font>
    <font>
      <sz val="9"/>
      <color indexed="81"/>
      <name val="Tahoma"/>
      <family val="2"/>
      <charset val="238"/>
    </font>
    <font>
      <b/>
      <sz val="9"/>
      <color indexed="81"/>
      <name val="Tahoma"/>
      <family val="2"/>
      <charset val="238"/>
    </font>
    <font>
      <strike/>
      <sz val="11"/>
      <color rgb="FF9C0006"/>
      <name val="Calibri"/>
      <family val="2"/>
      <charset val="238"/>
      <scheme val="minor"/>
    </font>
    <font>
      <strike/>
      <sz val="11"/>
      <color theme="1"/>
      <name val="Calibri"/>
      <family val="2"/>
      <charset val="238"/>
      <scheme val="minor"/>
    </font>
    <font>
      <strike/>
      <sz val="11"/>
      <color rgb="FF006100"/>
      <name val="Calibri"/>
      <family val="2"/>
      <charset val="238"/>
      <scheme val="minor"/>
    </font>
    <font>
      <i/>
      <sz val="11"/>
      <color theme="1"/>
      <name val="Calibri"/>
      <family val="2"/>
      <charset val="238"/>
      <scheme val="minor"/>
    </font>
  </fonts>
  <fills count="11">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rgb="FFC6EFCE"/>
      </patternFill>
    </fill>
    <fill>
      <patternFill patternType="solid">
        <fgColor rgb="FFFFEB9C"/>
      </patternFill>
    </fill>
    <fill>
      <patternFill patternType="solid">
        <fgColor theme="4"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9" tint="0.79998168889431442"/>
        <bgColor indexed="65"/>
      </patternFill>
    </fill>
    <fill>
      <patternFill patternType="solid">
        <fgColor theme="9" tint="0.39997558519241921"/>
        <bgColor indexed="65"/>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s>
  <cellStyleXfs count="9">
    <xf numFmtId="0" fontId="0" fillId="0" borderId="0"/>
    <xf numFmtId="0" fontId="2" fillId="2"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6" fillId="10" borderId="0" applyNumberFormat="0" applyBorder="0" applyAlignment="0" applyProtection="0"/>
  </cellStyleXfs>
  <cellXfs count="55">
    <xf numFmtId="0" fontId="0" fillId="0" borderId="0" xfId="0"/>
    <xf numFmtId="0" fontId="0" fillId="0" borderId="0" xfId="0" applyAlignment="1">
      <alignment horizontal="right"/>
    </xf>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Border="1"/>
    <xf numFmtId="0" fontId="1" fillId="0" borderId="2" xfId="0" applyFont="1" applyBorder="1"/>
    <xf numFmtId="0" fontId="1" fillId="0" borderId="3" xfId="0" applyFont="1" applyBorder="1"/>
    <xf numFmtId="0" fontId="1" fillId="0" borderId="4" xfId="0" applyFont="1" applyBorder="1"/>
    <xf numFmtId="0" fontId="1" fillId="0" borderId="0" xfId="0" applyFont="1" applyBorder="1"/>
    <xf numFmtId="0" fontId="2" fillId="2" borderId="6" xfId="1" applyBorder="1"/>
    <xf numFmtId="0" fontId="1" fillId="0" borderId="0" xfId="0" applyFont="1" applyFill="1" applyBorder="1"/>
    <xf numFmtId="0" fontId="1" fillId="0" borderId="0" xfId="0" applyFont="1"/>
    <xf numFmtId="0" fontId="0" fillId="3" borderId="6" xfId="0" applyFill="1" applyBorder="1"/>
    <xf numFmtId="0" fontId="0" fillId="0" borderId="12" xfId="0" applyBorder="1" applyAlignment="1"/>
    <xf numFmtId="0" fontId="0" fillId="0" borderId="13" xfId="0" applyBorder="1"/>
    <xf numFmtId="0" fontId="0" fillId="0" borderId="10" xfId="0" applyBorder="1"/>
    <xf numFmtId="0" fontId="0" fillId="0" borderId="14" xfId="0" applyBorder="1"/>
    <xf numFmtId="0" fontId="0" fillId="0" borderId="1" xfId="0" applyFill="1" applyBorder="1"/>
    <xf numFmtId="0" fontId="0" fillId="0" borderId="15" xfId="0" applyBorder="1"/>
    <xf numFmtId="0" fontId="0" fillId="0" borderId="8" xfId="0" applyFill="1" applyBorder="1"/>
    <xf numFmtId="0" fontId="5" fillId="5" borderId="0" xfId="3"/>
    <xf numFmtId="0" fontId="4" fillId="4" borderId="0" xfId="2"/>
    <xf numFmtId="49" fontId="0" fillId="0" borderId="0" xfId="0" applyNumberFormat="1"/>
    <xf numFmtId="0" fontId="2" fillId="2" borderId="0" xfId="1"/>
    <xf numFmtId="0" fontId="3" fillId="6" borderId="0" xfId="4"/>
    <xf numFmtId="0" fontId="3" fillId="7" borderId="0" xfId="5"/>
    <xf numFmtId="0" fontId="3" fillId="8" borderId="0" xfId="6"/>
    <xf numFmtId="0" fontId="0" fillId="8" borderId="0" xfId="6" applyFont="1"/>
    <xf numFmtId="0" fontId="9" fillId="2" borderId="0" xfId="1" applyFont="1"/>
    <xf numFmtId="0" fontId="6" fillId="10" borderId="0" xfId="8"/>
    <xf numFmtId="0" fontId="3" fillId="9" borderId="0" xfId="7"/>
    <xf numFmtId="49" fontId="3" fillId="9" borderId="0" xfId="7" applyNumberFormat="1"/>
    <xf numFmtId="0" fontId="10" fillId="0" borderId="0" xfId="0" applyFont="1"/>
    <xf numFmtId="0" fontId="0" fillId="7" borderId="0" xfId="5" applyFont="1"/>
    <xf numFmtId="0" fontId="0" fillId="6" borderId="0" xfId="4" applyFont="1"/>
    <xf numFmtId="0" fontId="11" fillId="4" borderId="0" xfId="2" applyFont="1"/>
    <xf numFmtId="0" fontId="1" fillId="0" borderId="0" xfId="0" applyFont="1" applyAlignment="1">
      <alignment horizontal="center" vertical="center" textRotation="255"/>
    </xf>
    <xf numFmtId="0" fontId="0" fillId="0" borderId="10" xfId="0" applyBorder="1" applyAlignment="1">
      <alignment horizontal="center"/>
    </xf>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8" xfId="0" applyBorder="1" applyAlignment="1">
      <alignment horizontal="center" wrapText="1"/>
    </xf>
    <xf numFmtId="0" fontId="0" fillId="0" borderId="1" xfId="0" applyBorder="1" applyAlignment="1">
      <alignment horizontal="center" vertical="center"/>
    </xf>
    <xf numFmtId="0" fontId="0" fillId="0" borderId="10" xfId="0" applyBorder="1" applyAlignment="1">
      <alignment horizontal="center"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top" wrapText="1"/>
    </xf>
    <xf numFmtId="0" fontId="12" fillId="0" borderId="0" xfId="0" applyFont="1"/>
    <xf numFmtId="0" fontId="12" fillId="0" borderId="0" xfId="0" applyFont="1" applyAlignment="1">
      <alignment horizontal="center"/>
    </xf>
    <xf numFmtId="0" fontId="0" fillId="0" borderId="0" xfId="0" applyAlignment="1">
      <alignment horizontal="left" vertical="top" wrapText="1"/>
    </xf>
  </cellXfs>
  <cellStyles count="9">
    <cellStyle name="20 % – Zvýraznění6" xfId="7" builtinId="50"/>
    <cellStyle name="40 % – Zvýraznění1" xfId="4" builtinId="31"/>
    <cellStyle name="40 % – Zvýraznění3" xfId="5" builtinId="39"/>
    <cellStyle name="40 % – Zvýraznění4" xfId="6" builtinId="43"/>
    <cellStyle name="60 % – Zvýraznění6" xfId="8" builtinId="52"/>
    <cellStyle name="Chybně" xfId="1" builtinId="27"/>
    <cellStyle name="Neutrální" xfId="3" builtinId="28"/>
    <cellStyle name="normální" xfId="0" builtinId="0"/>
    <cellStyle name="Správně" xfId="2" builtinId="2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Motiv sady Office">
  <a:themeElements>
    <a:clrScheme name="Kancelář">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celář">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celář">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3:P354"/>
  <sheetViews>
    <sheetView topLeftCell="B15" zoomScale="70" zoomScaleNormal="70" workbookViewId="0">
      <selection activeCell="F72" sqref="A3:P354"/>
    </sheetView>
  </sheetViews>
  <sheetFormatPr defaultRowHeight="15"/>
  <cols>
    <col min="5" max="5" width="41.7109375" customWidth="1"/>
    <col min="6" max="6" width="14.140625" customWidth="1"/>
    <col min="8" max="8" width="45.5703125" customWidth="1"/>
    <col min="9" max="9" width="49.42578125" customWidth="1"/>
    <col min="11" max="11" width="29.42578125" customWidth="1"/>
    <col min="12" max="12" width="83.42578125" customWidth="1"/>
    <col min="13" max="13" width="34.140625" customWidth="1"/>
    <col min="14" max="14" width="46" customWidth="1"/>
    <col min="15" max="15" width="117.7109375" customWidth="1"/>
    <col min="16" max="16" width="92.140625" customWidth="1"/>
  </cols>
  <sheetData>
    <row r="3" spans="2:16">
      <c r="B3" t="s">
        <v>2</v>
      </c>
      <c r="C3" t="s">
        <v>0</v>
      </c>
      <c r="D3" t="s">
        <v>1</v>
      </c>
      <c r="E3" t="s">
        <v>4</v>
      </c>
      <c r="F3" t="s">
        <v>52</v>
      </c>
    </row>
    <row r="4" spans="2:16">
      <c r="B4" s="40"/>
      <c r="C4" s="1">
        <v>0</v>
      </c>
      <c r="D4" s="1" t="str">
        <f t="shared" ref="D4:D67" si="0">DEC2HEX(C4,4)</f>
        <v>0000</v>
      </c>
      <c r="H4" t="str">
        <f t="shared" ref="H4:H67" si="1">CONCATENATE("#define  ",E4,"  ",C4)</f>
        <v>#define    0</v>
      </c>
      <c r="I4" t="str">
        <f t="shared" ref="I4:I67" si="2">CONCATENATE("public const byte ",E4," = ",C4,";")</f>
        <v>public const byte  = 0;</v>
      </c>
    </row>
    <row r="5" spans="2:16">
      <c r="B5" s="40"/>
      <c r="C5" s="1">
        <v>1</v>
      </c>
      <c r="D5" s="1" t="str">
        <f t="shared" si="0"/>
        <v>0001</v>
      </c>
      <c r="E5" t="s">
        <v>143</v>
      </c>
      <c r="H5" t="str">
        <f t="shared" si="1"/>
        <v>#define  VAR_NETWORK_STATUS  1</v>
      </c>
      <c r="I5" t="str">
        <f t="shared" si="2"/>
        <v>public const byte VAR_NETWORK_STATUS = 1;</v>
      </c>
    </row>
    <row r="6" spans="2:16">
      <c r="B6" s="40"/>
      <c r="C6" s="1">
        <v>2</v>
      </c>
      <c r="D6" s="1" t="str">
        <f t="shared" si="0"/>
        <v>0002</v>
      </c>
      <c r="H6" t="str">
        <f t="shared" si="1"/>
        <v>#define    2</v>
      </c>
      <c r="I6" t="str">
        <f t="shared" si="2"/>
        <v>public const byte  = 2;</v>
      </c>
    </row>
    <row r="7" spans="2:16">
      <c r="B7" s="40"/>
      <c r="C7" s="1">
        <v>3</v>
      </c>
      <c r="D7" s="1" t="str">
        <f t="shared" si="0"/>
        <v>0003</v>
      </c>
      <c r="H7" t="str">
        <f t="shared" si="1"/>
        <v>#define    3</v>
      </c>
      <c r="I7" t="str">
        <f t="shared" si="2"/>
        <v>public const byte  = 3;</v>
      </c>
    </row>
    <row r="8" spans="2:16">
      <c r="B8" s="40"/>
      <c r="C8" s="1">
        <v>4</v>
      </c>
      <c r="D8" s="1" t="str">
        <f t="shared" si="0"/>
        <v>0004</v>
      </c>
      <c r="H8" t="str">
        <f t="shared" si="1"/>
        <v>#define    4</v>
      </c>
      <c r="I8" t="str">
        <f t="shared" si="2"/>
        <v>public const byte  = 4;</v>
      </c>
    </row>
    <row r="9" spans="2:16">
      <c r="B9" s="40"/>
      <c r="C9" s="1">
        <v>5</v>
      </c>
      <c r="D9" s="1" t="str">
        <f t="shared" si="0"/>
        <v>0005</v>
      </c>
      <c r="H9" t="str">
        <f t="shared" si="1"/>
        <v>#define    5</v>
      </c>
      <c r="I9" t="str">
        <f t="shared" si="2"/>
        <v>public const byte  = 5;</v>
      </c>
    </row>
    <row r="10" spans="2:16">
      <c r="B10" s="40"/>
      <c r="C10" s="1">
        <v>6</v>
      </c>
      <c r="D10" s="1" t="str">
        <f t="shared" si="0"/>
        <v>0006</v>
      </c>
      <c r="H10" t="str">
        <f t="shared" si="1"/>
        <v>#define    6</v>
      </c>
      <c r="I10" t="str">
        <f t="shared" si="2"/>
        <v>public const byte  = 6;</v>
      </c>
    </row>
    <row r="11" spans="2:16">
      <c r="B11" s="40"/>
      <c r="C11" s="1">
        <v>7</v>
      </c>
      <c r="D11" s="1" t="str">
        <f t="shared" si="0"/>
        <v>0007</v>
      </c>
      <c r="H11" t="str">
        <f t="shared" si="1"/>
        <v>#define    7</v>
      </c>
      <c r="I11" t="str">
        <f t="shared" si="2"/>
        <v>public const byte  = 7;</v>
      </c>
      <c r="O11" t="str">
        <f>IF(ISBLANK(E11),"","text")</f>
        <v/>
      </c>
    </row>
    <row r="12" spans="2:16">
      <c r="B12" s="40"/>
      <c r="C12" s="1">
        <v>8</v>
      </c>
      <c r="D12" s="1" t="str">
        <f t="shared" si="0"/>
        <v>0008</v>
      </c>
      <c r="E12" s="25" t="s">
        <v>415</v>
      </c>
      <c r="H12" t="str">
        <f>CONCATENATE("#define  ",E12,"  ",C12)</f>
        <v>#define  VAR_SOLAR_POWER_W  8</v>
      </c>
      <c r="I12" t="str">
        <f t="shared" si="2"/>
        <v>public const byte VAR_SOLAR_POWER_W = 8;</v>
      </c>
      <c r="L12" t="str">
        <f>CONCATENATE("UpdateScanList(",E12, ", 5000);")</f>
        <v>UpdateScanList(VAR_SOLAR_POWER_W, 5000);</v>
      </c>
      <c r="O12" t="str">
        <f>IF(ISBLANK(E12),"",CONCATENATE("cJSON_AddItemToObject(Uha, ","""",E12,"""",", cJSON_CreateNumber(mVars[",E12,"]));"))</f>
        <v>cJSON_AddItemToObject(Uha, "VAR_SOLAR_POWER_W", cJSON_CreateNumber(mVars[VAR_SOLAR_POWER_W]));</v>
      </c>
    </row>
    <row r="13" spans="2:16">
      <c r="B13" s="40"/>
      <c r="C13" s="1">
        <v>9</v>
      </c>
      <c r="D13" s="1" t="str">
        <f t="shared" si="0"/>
        <v>0009</v>
      </c>
      <c r="E13" s="25" t="s">
        <v>439</v>
      </c>
      <c r="H13" t="str">
        <f t="shared" si="1"/>
        <v>#define  VAR_SOLAR_ENERGY_TODAY_10WH  9</v>
      </c>
      <c r="I13" t="str">
        <f t="shared" si="2"/>
        <v>public const byte VAR_SOLAR_ENERGY_TODAY_10WH = 9;</v>
      </c>
      <c r="L13" t="str">
        <f>CONCATENATE("UpdateScanList(",E13, ", 5000);")</f>
        <v>UpdateScanList(VAR_SOLAR_ENERGY_TODAY_10WH, 5000);</v>
      </c>
      <c r="O13" t="str">
        <f t="shared" ref="O13:O76" si="3">IF(ISBLANK(E13),"",CONCATENATE("cJSON_AddItemToObject(Uha, ","""",E13,"""",", cJSON_CreateNumber(mVars[",E13,"]));"))</f>
        <v>cJSON_AddItemToObject(Uha, "VAR_SOLAR_ENERGY_TODAY_10WH", cJSON_CreateNumber(mVars[VAR_SOLAR_ENERGY_TODAY_10WH]));</v>
      </c>
    </row>
    <row r="14" spans="2:16">
      <c r="B14" s="40"/>
      <c r="C14" s="1">
        <v>10</v>
      </c>
      <c r="D14" s="1" t="str">
        <f t="shared" si="0"/>
        <v>000A</v>
      </c>
      <c r="E14" t="s">
        <v>137</v>
      </c>
      <c r="H14" t="str">
        <f>CONCATENATE("#define  ",E14,"  ",C14)</f>
        <v>#define  VAR_BAT_SOC  10</v>
      </c>
      <c r="I14" t="str">
        <f t="shared" si="2"/>
        <v>public const byte VAR_BAT_SOC = 10;</v>
      </c>
      <c r="L14" t="str">
        <f>CONCATENATE("UpdateScanList(",E14, ", 5000);")</f>
        <v>UpdateScanList(VAR_BAT_SOC, 5000);</v>
      </c>
      <c r="O14" t="str">
        <f t="shared" si="3"/>
        <v>cJSON_AddItemToObject(Uha, "VAR_BAT_SOC", cJSON_CreateNumber(mVars[VAR_BAT_SOC]));</v>
      </c>
      <c r="P14" t="str">
        <f>CONCATENATE("cJSON_AddItemToObject(Uha, ","""",E14,"""",", cJSON_CreateNumber(mVars[",C14,"]));")</f>
        <v>cJSON_AddItemToObject(Uha, "VAR_BAT_SOC", cJSON_CreateNumber(mVars[10]));</v>
      </c>
    </row>
    <row r="15" spans="2:16">
      <c r="B15" s="40"/>
      <c r="C15" s="1">
        <v>11</v>
      </c>
      <c r="D15" s="1" t="str">
        <f t="shared" si="0"/>
        <v>000B</v>
      </c>
      <c r="E15" t="s">
        <v>138</v>
      </c>
      <c r="H15" t="str">
        <f t="shared" si="1"/>
        <v>#define  VAR_BAT_VOLTAGE_V10  11</v>
      </c>
      <c r="I15" t="str">
        <f t="shared" si="2"/>
        <v>public const byte VAR_BAT_VOLTAGE_V10 = 11;</v>
      </c>
      <c r="L15" t="str">
        <f t="shared" ref="L15:L78" si="4">CONCATENATE("UpdateScanList(",E15, ", 5000);")</f>
        <v>UpdateScanList(VAR_BAT_VOLTAGE_V10, 5000);</v>
      </c>
      <c r="O15" t="str">
        <f t="shared" si="3"/>
        <v>cJSON_AddItemToObject(Uha, "VAR_BAT_VOLTAGE_V10", cJSON_CreateNumber(mVars[VAR_BAT_VOLTAGE_V10]));</v>
      </c>
      <c r="P15" t="str">
        <f t="shared" ref="P15:P54" si="5">CONCATENATE("cJSON_AddItemToObject(Uha, ","""",E15,"""",", cJSON_CreateNumber(mVars[",C15,"]));")</f>
        <v>cJSON_AddItemToObject(Uha, "VAR_BAT_VOLTAGE_V10", cJSON_CreateNumber(mVars[11]));</v>
      </c>
    </row>
    <row r="16" spans="2:16">
      <c r="B16" s="40"/>
      <c r="C16" s="1">
        <v>12</v>
      </c>
      <c r="D16" s="1" t="str">
        <f t="shared" si="0"/>
        <v>000C</v>
      </c>
      <c r="E16" s="36" t="s">
        <v>309</v>
      </c>
      <c r="H16" t="str">
        <f t="shared" si="1"/>
        <v>#define  VAR_LOAD_A100  12</v>
      </c>
      <c r="I16" t="str">
        <f t="shared" si="2"/>
        <v>public const byte VAR_LOAD_A100 = 12;</v>
      </c>
      <c r="L16" t="str">
        <f t="shared" si="4"/>
        <v>UpdateScanList(VAR_LOAD_A100, 5000);</v>
      </c>
      <c r="O16" t="str">
        <f t="shared" si="3"/>
        <v>cJSON_AddItemToObject(Uha, "VAR_LOAD_A100", cJSON_CreateNumber(mVars[VAR_LOAD_A100]));</v>
      </c>
      <c r="P16" t="str">
        <f t="shared" si="5"/>
        <v>cJSON_AddItemToObject(Uha, "VAR_LOAD_A100", cJSON_CreateNumber(mVars[12]));</v>
      </c>
    </row>
    <row r="17" spans="2:16">
      <c r="B17" s="40"/>
      <c r="C17" s="1">
        <v>13</v>
      </c>
      <c r="D17" s="1" t="str">
        <f t="shared" si="0"/>
        <v>000D</v>
      </c>
      <c r="E17" s="36" t="s">
        <v>139</v>
      </c>
      <c r="H17" t="str">
        <f t="shared" si="1"/>
        <v>#define  VAR_CHARGING_A10  13</v>
      </c>
      <c r="I17" t="str">
        <f t="shared" si="2"/>
        <v>public const byte VAR_CHARGING_A10 = 13;</v>
      </c>
      <c r="L17" t="str">
        <f t="shared" si="4"/>
        <v>UpdateScanList(VAR_CHARGING_A10, 5000);</v>
      </c>
      <c r="O17" t="str">
        <f t="shared" si="3"/>
        <v>cJSON_AddItemToObject(Uha, "VAR_CHARGING_A10", cJSON_CreateNumber(mVars[VAR_CHARGING_A10]));</v>
      </c>
      <c r="P17" t="str">
        <f t="shared" si="5"/>
        <v>cJSON_AddItemToObject(Uha, "VAR_CHARGING_A10", cJSON_CreateNumber(mVars[13]));</v>
      </c>
    </row>
    <row r="18" spans="2:16">
      <c r="B18" s="40"/>
      <c r="C18" s="1">
        <v>14</v>
      </c>
      <c r="D18" s="1" t="str">
        <f t="shared" si="0"/>
        <v>000E</v>
      </c>
      <c r="E18" t="s">
        <v>168</v>
      </c>
      <c r="H18" t="str">
        <f t="shared" si="1"/>
        <v>#define  VAR_BAT_CURRENT_A10  14</v>
      </c>
      <c r="I18" t="str">
        <f t="shared" si="2"/>
        <v>public const byte VAR_BAT_CURRENT_A10 = 14;</v>
      </c>
      <c r="L18" t="str">
        <f t="shared" si="4"/>
        <v>UpdateScanList(VAR_BAT_CURRENT_A10, 5000);</v>
      </c>
      <c r="O18" t="str">
        <f t="shared" si="3"/>
        <v>cJSON_AddItemToObject(Uha, "VAR_BAT_CURRENT_A10", cJSON_CreateNumber(mVars[VAR_BAT_CURRENT_A10]));</v>
      </c>
      <c r="P18" t="str">
        <f t="shared" si="5"/>
        <v>cJSON_AddItemToObject(Uha, "VAR_BAT_CURRENT_A10", cJSON_CreateNumber(mVars[14]));</v>
      </c>
    </row>
    <row r="19" spans="2:16">
      <c r="B19" s="40"/>
      <c r="C19" s="1">
        <v>15</v>
      </c>
      <c r="D19" s="1" t="str">
        <f t="shared" si="0"/>
        <v>000F</v>
      </c>
      <c r="E19" t="s">
        <v>252</v>
      </c>
      <c r="H19" t="str">
        <f t="shared" si="1"/>
        <v>#define  VAR_CONS_TODAY_WH  15</v>
      </c>
      <c r="I19" t="str">
        <f t="shared" si="2"/>
        <v>public const byte VAR_CONS_TODAY_WH = 15;</v>
      </c>
      <c r="L19" t="str">
        <f t="shared" si="4"/>
        <v>UpdateScanList(VAR_CONS_TODAY_WH, 5000);</v>
      </c>
      <c r="O19" t="str">
        <f t="shared" si="3"/>
        <v>cJSON_AddItemToObject(Uha, "VAR_CONS_TODAY_WH", cJSON_CreateNumber(mVars[VAR_CONS_TODAY_WH]));</v>
      </c>
      <c r="P19" t="str">
        <f t="shared" si="5"/>
        <v>cJSON_AddItemToObject(Uha, "VAR_CONS_TODAY_WH", cJSON_CreateNumber(mVars[15]));</v>
      </c>
    </row>
    <row r="20" spans="2:16">
      <c r="B20" s="40"/>
      <c r="C20" s="1">
        <v>16</v>
      </c>
      <c r="D20" s="1" t="str">
        <f t="shared" si="0"/>
        <v>0010</v>
      </c>
      <c r="E20" t="s">
        <v>253</v>
      </c>
      <c r="H20" t="str">
        <f t="shared" si="1"/>
        <v>#define  VAR_BAT_ENERGY_WH  16</v>
      </c>
      <c r="I20" t="str">
        <f t="shared" si="2"/>
        <v>public const byte VAR_BAT_ENERGY_WH = 16;</v>
      </c>
      <c r="L20" t="str">
        <f t="shared" si="4"/>
        <v>UpdateScanList(VAR_BAT_ENERGY_WH, 5000);</v>
      </c>
      <c r="O20" t="str">
        <f t="shared" si="3"/>
        <v>cJSON_AddItemToObject(Uha, "VAR_BAT_ENERGY_WH", cJSON_CreateNumber(mVars[VAR_BAT_ENERGY_WH]));</v>
      </c>
      <c r="P20" t="str">
        <f t="shared" si="5"/>
        <v>cJSON_AddItemToObject(Uha, "VAR_BAT_ENERGY_WH", cJSON_CreateNumber(mVars[16]));</v>
      </c>
    </row>
    <row r="21" spans="2:16">
      <c r="B21" s="40"/>
      <c r="C21" s="1">
        <v>17</v>
      </c>
      <c r="D21" s="1" t="str">
        <f t="shared" si="0"/>
        <v>0011</v>
      </c>
      <c r="E21" t="s">
        <v>254</v>
      </c>
      <c r="H21" t="str">
        <f t="shared" si="1"/>
        <v>#define  VAR_LOAD_W  17</v>
      </c>
      <c r="I21" t="str">
        <f t="shared" si="2"/>
        <v>public const byte VAR_LOAD_W = 17;</v>
      </c>
      <c r="L21" t="str">
        <f t="shared" si="4"/>
        <v>UpdateScanList(VAR_LOAD_W, 5000);</v>
      </c>
      <c r="O21" t="str">
        <f t="shared" si="3"/>
        <v>cJSON_AddItemToObject(Uha, "VAR_LOAD_W", cJSON_CreateNumber(mVars[VAR_LOAD_W]));</v>
      </c>
      <c r="P21" t="str">
        <f t="shared" si="5"/>
        <v>cJSON_AddItemToObject(Uha, "VAR_LOAD_W", cJSON_CreateNumber(mVars[17]));</v>
      </c>
    </row>
    <row r="22" spans="2:16">
      <c r="B22" s="40"/>
      <c r="C22" s="1">
        <v>18</v>
      </c>
      <c r="D22" s="1" t="str">
        <f t="shared" si="0"/>
        <v>0012</v>
      </c>
      <c r="E22" t="s">
        <v>409</v>
      </c>
      <c r="H22" t="str">
        <f t="shared" si="1"/>
        <v>#define  VAR_BAT_POWER_W  18</v>
      </c>
      <c r="I22" t="str">
        <f t="shared" si="2"/>
        <v>public const byte VAR_BAT_POWER_W = 18;</v>
      </c>
      <c r="L22" t="str">
        <f t="shared" si="4"/>
        <v>UpdateScanList(VAR_BAT_POWER_W, 5000);</v>
      </c>
      <c r="O22" t="str">
        <f t="shared" si="3"/>
        <v>cJSON_AddItemToObject(Uha, "VAR_BAT_POWER_W", cJSON_CreateNumber(mVars[VAR_BAT_POWER_W]));</v>
      </c>
    </row>
    <row r="23" spans="2:16">
      <c r="B23" s="40"/>
      <c r="C23" s="1">
        <v>19</v>
      </c>
      <c r="D23" s="1" t="str">
        <f t="shared" si="0"/>
        <v>0013</v>
      </c>
      <c r="H23" t="str">
        <f t="shared" si="1"/>
        <v>#define    19</v>
      </c>
      <c r="I23" t="str">
        <f t="shared" si="2"/>
        <v>public const byte  = 19;</v>
      </c>
      <c r="L23" t="str">
        <f t="shared" si="4"/>
        <v>UpdateScanList(, 5000);</v>
      </c>
      <c r="O23" t="str">
        <f t="shared" si="3"/>
        <v/>
      </c>
    </row>
    <row r="24" spans="2:16">
      <c r="B24" s="40"/>
      <c r="C24" s="1">
        <v>20</v>
      </c>
      <c r="D24" s="1" t="str">
        <f t="shared" si="0"/>
        <v>0014</v>
      </c>
      <c r="E24" t="s">
        <v>169</v>
      </c>
      <c r="H24" t="str">
        <f t="shared" si="1"/>
        <v>#define  VAR_BMS1_SOC  20</v>
      </c>
      <c r="I24" t="str">
        <f t="shared" si="2"/>
        <v>public const byte VAR_BMS1_SOC = 20;</v>
      </c>
      <c r="L24" t="str">
        <f t="shared" si="4"/>
        <v>UpdateScanList(VAR_BMS1_SOC, 5000);</v>
      </c>
      <c r="M24" t="str">
        <f t="shared" ref="M24:M38" si="6">CONCATENATE("VAR_SetVariable(",E24,", mLiveData", ", validflag);")</f>
        <v>VAR_SetVariable(VAR_BMS1_SOC, mLiveData, validflag);</v>
      </c>
      <c r="O24" t="str">
        <f t="shared" si="3"/>
        <v>cJSON_AddItemToObject(Uha, "VAR_BMS1_SOC", cJSON_CreateNumber(mVars[VAR_BMS1_SOC]));</v>
      </c>
      <c r="P24" t="str">
        <f t="shared" si="5"/>
        <v>cJSON_AddItemToObject(Uha, "VAR_BMS1_SOC", cJSON_CreateNumber(mVars[20]));</v>
      </c>
    </row>
    <row r="25" spans="2:16">
      <c r="B25" s="40"/>
      <c r="C25" s="1">
        <v>21</v>
      </c>
      <c r="D25" s="1" t="str">
        <f t="shared" si="0"/>
        <v>0015</v>
      </c>
      <c r="E25" t="s">
        <v>170</v>
      </c>
      <c r="H25" t="str">
        <f t="shared" si="1"/>
        <v>#define  VAR_BMS1_CURRENT_A10  21</v>
      </c>
      <c r="I25" t="str">
        <f t="shared" si="2"/>
        <v>public const byte VAR_BMS1_CURRENT_A10 = 21;</v>
      </c>
      <c r="L25" t="str">
        <f t="shared" si="4"/>
        <v>UpdateScanList(VAR_BMS1_CURRENT_A10, 5000);</v>
      </c>
      <c r="M25" t="str">
        <f t="shared" si="6"/>
        <v>VAR_SetVariable(VAR_BMS1_CURRENT_A10, mLiveData, validflag);</v>
      </c>
      <c r="O25" t="str">
        <f t="shared" si="3"/>
        <v>cJSON_AddItemToObject(Uha, "VAR_BMS1_CURRENT_A10", cJSON_CreateNumber(mVars[VAR_BMS1_CURRENT_A10]));</v>
      </c>
      <c r="P25" t="str">
        <f t="shared" si="5"/>
        <v>cJSON_AddItemToObject(Uha, "VAR_BMS1_CURRENT_A10", cJSON_CreateNumber(mVars[21]));</v>
      </c>
    </row>
    <row r="26" spans="2:16">
      <c r="B26" s="40"/>
      <c r="C26" s="1">
        <v>22</v>
      </c>
      <c r="D26" s="1" t="str">
        <f t="shared" si="0"/>
        <v>0016</v>
      </c>
      <c r="E26" t="s">
        <v>171</v>
      </c>
      <c r="H26" t="str">
        <f t="shared" si="1"/>
        <v>#define  VAR_BMS1_VOLTAGE_V10  22</v>
      </c>
      <c r="I26" t="str">
        <f t="shared" si="2"/>
        <v>public const byte VAR_BMS1_VOLTAGE_V10 = 22;</v>
      </c>
      <c r="L26" t="str">
        <f t="shared" si="4"/>
        <v>UpdateScanList(VAR_BMS1_VOLTAGE_V10, 5000);</v>
      </c>
      <c r="M26" t="str">
        <f t="shared" si="6"/>
        <v>VAR_SetVariable(VAR_BMS1_VOLTAGE_V10, mLiveData, validflag);</v>
      </c>
      <c r="O26" t="str">
        <f t="shared" si="3"/>
        <v>cJSON_AddItemToObject(Uha, "VAR_BMS1_VOLTAGE_V10", cJSON_CreateNumber(mVars[VAR_BMS1_VOLTAGE_V10]));</v>
      </c>
      <c r="P26" t="str">
        <f t="shared" si="5"/>
        <v>cJSON_AddItemToObject(Uha, "VAR_BMS1_VOLTAGE_V10", cJSON_CreateNumber(mVars[22]));</v>
      </c>
    </row>
    <row r="27" spans="2:16">
      <c r="B27" s="40"/>
      <c r="C27" s="1">
        <v>23</v>
      </c>
      <c r="D27" s="1" t="str">
        <f t="shared" si="0"/>
        <v>0017</v>
      </c>
      <c r="E27" t="s">
        <v>172</v>
      </c>
      <c r="H27" t="str">
        <f t="shared" si="1"/>
        <v>#define  VAR_BMS1_ENERGY_STORED_WH  23</v>
      </c>
      <c r="I27" t="str">
        <f t="shared" si="2"/>
        <v>public const byte VAR_BMS1_ENERGY_STORED_WH = 23;</v>
      </c>
      <c r="L27" t="str">
        <f t="shared" si="4"/>
        <v>UpdateScanList(VAR_BMS1_ENERGY_STORED_WH, 5000);</v>
      </c>
      <c r="M27" t="str">
        <f t="shared" si="6"/>
        <v>VAR_SetVariable(VAR_BMS1_ENERGY_STORED_WH, mLiveData, validflag);</v>
      </c>
      <c r="O27" t="str">
        <f t="shared" si="3"/>
        <v>cJSON_AddItemToObject(Uha, "VAR_BMS1_ENERGY_STORED_WH", cJSON_CreateNumber(mVars[VAR_BMS1_ENERGY_STORED_WH]));</v>
      </c>
      <c r="P27" t="str">
        <f t="shared" si="5"/>
        <v>cJSON_AddItemToObject(Uha, "VAR_BMS1_ENERGY_STORED_WH", cJSON_CreateNumber(mVars[23]));</v>
      </c>
    </row>
    <row r="28" spans="2:16">
      <c r="B28" s="40"/>
      <c r="C28" s="1">
        <v>24</v>
      </c>
      <c r="D28" s="1" t="str">
        <f t="shared" si="0"/>
        <v>0018</v>
      </c>
      <c r="E28" t="s">
        <v>173</v>
      </c>
      <c r="H28" t="str">
        <f t="shared" si="1"/>
        <v>#define  VAR_BMS1_TODAY_ENERGY_WH  24</v>
      </c>
      <c r="I28" t="str">
        <f t="shared" si="2"/>
        <v>public const byte VAR_BMS1_TODAY_ENERGY_WH = 24;</v>
      </c>
      <c r="L28" t="str">
        <f t="shared" si="4"/>
        <v>UpdateScanList(VAR_BMS1_TODAY_ENERGY_WH, 5000);</v>
      </c>
      <c r="M28" t="str">
        <f t="shared" si="6"/>
        <v>VAR_SetVariable(VAR_BMS1_TODAY_ENERGY_WH, mLiveData, validflag);</v>
      </c>
      <c r="O28" t="str">
        <f t="shared" si="3"/>
        <v>cJSON_AddItemToObject(Uha, "VAR_BMS1_TODAY_ENERGY_WH", cJSON_CreateNumber(mVars[VAR_BMS1_TODAY_ENERGY_WH]));</v>
      </c>
      <c r="P28" t="str">
        <f t="shared" si="5"/>
        <v>cJSON_AddItemToObject(Uha, "VAR_BMS1_TODAY_ENERGY_WH", cJSON_CreateNumber(mVars[24]));</v>
      </c>
    </row>
    <row r="29" spans="2:16">
      <c r="B29" s="40"/>
      <c r="C29" s="1">
        <v>25</v>
      </c>
      <c r="D29" s="1" t="str">
        <f t="shared" si="0"/>
        <v>0019</v>
      </c>
      <c r="H29" t="str">
        <f t="shared" si="1"/>
        <v>#define    25</v>
      </c>
      <c r="I29" t="str">
        <f t="shared" si="2"/>
        <v>public const byte  = 25;</v>
      </c>
      <c r="L29" t="str">
        <f t="shared" si="4"/>
        <v>UpdateScanList(, 5000);</v>
      </c>
      <c r="O29" t="str">
        <f t="shared" si="3"/>
        <v/>
      </c>
    </row>
    <row r="30" spans="2:16">
      <c r="B30" s="40"/>
      <c r="C30" s="1">
        <v>26</v>
      </c>
      <c r="D30" s="1" t="str">
        <f t="shared" si="0"/>
        <v>001A</v>
      </c>
      <c r="H30" t="str">
        <f t="shared" si="1"/>
        <v>#define    26</v>
      </c>
      <c r="I30" t="str">
        <f t="shared" si="2"/>
        <v>public const byte  = 26;</v>
      </c>
      <c r="L30" t="str">
        <f t="shared" si="4"/>
        <v>UpdateScanList(, 5000);</v>
      </c>
      <c r="O30" t="str">
        <f t="shared" si="3"/>
        <v/>
      </c>
    </row>
    <row r="31" spans="2:16">
      <c r="B31" s="40"/>
      <c r="C31" s="1">
        <v>27</v>
      </c>
      <c r="D31" s="1" t="str">
        <f t="shared" si="0"/>
        <v>001B</v>
      </c>
      <c r="H31" t="str">
        <f t="shared" si="1"/>
        <v>#define    27</v>
      </c>
      <c r="I31" t="str">
        <f t="shared" si="2"/>
        <v>public const byte  = 27;</v>
      </c>
      <c r="L31" t="str">
        <f t="shared" si="4"/>
        <v>UpdateScanList(, 5000);</v>
      </c>
      <c r="O31" t="str">
        <f t="shared" si="3"/>
        <v/>
      </c>
    </row>
    <row r="32" spans="2:16">
      <c r="B32" s="40"/>
      <c r="C32" s="1">
        <v>28</v>
      </c>
      <c r="D32" s="1" t="str">
        <f t="shared" si="0"/>
        <v>001C</v>
      </c>
      <c r="H32" t="str">
        <f t="shared" si="1"/>
        <v>#define    28</v>
      </c>
      <c r="I32" t="str">
        <f t="shared" si="2"/>
        <v>public const byte  = 28;</v>
      </c>
      <c r="L32" t="str">
        <f t="shared" si="4"/>
        <v>UpdateScanList(, 5000);</v>
      </c>
      <c r="O32" t="str">
        <f t="shared" si="3"/>
        <v/>
      </c>
    </row>
    <row r="33" spans="2:16">
      <c r="B33" s="40"/>
      <c r="C33" s="1">
        <v>29</v>
      </c>
      <c r="D33" s="1" t="str">
        <f t="shared" si="0"/>
        <v>001D</v>
      </c>
      <c r="H33" t="str">
        <f t="shared" si="1"/>
        <v>#define    29</v>
      </c>
      <c r="I33" t="str">
        <f t="shared" si="2"/>
        <v>public const byte  = 29;</v>
      </c>
      <c r="L33" t="str">
        <f t="shared" si="4"/>
        <v>UpdateScanList(, 5000);</v>
      </c>
      <c r="O33" t="str">
        <f t="shared" si="3"/>
        <v/>
      </c>
    </row>
    <row r="34" spans="2:16">
      <c r="B34" s="40"/>
      <c r="C34" s="1">
        <v>30</v>
      </c>
      <c r="D34" s="1" t="str">
        <f t="shared" si="0"/>
        <v>001E</v>
      </c>
      <c r="E34" t="s">
        <v>174</v>
      </c>
      <c r="H34" t="str">
        <f t="shared" si="1"/>
        <v>#define  VAR_BMS2_SOC  30</v>
      </c>
      <c r="I34" t="str">
        <f t="shared" si="2"/>
        <v>public const byte VAR_BMS2_SOC = 30;</v>
      </c>
      <c r="L34" t="str">
        <f t="shared" si="4"/>
        <v>UpdateScanList(VAR_BMS2_SOC, 5000);</v>
      </c>
      <c r="M34" t="str">
        <f t="shared" si="6"/>
        <v>VAR_SetVariable(VAR_BMS2_SOC, mLiveData, validflag);</v>
      </c>
      <c r="O34" t="str">
        <f t="shared" si="3"/>
        <v>cJSON_AddItemToObject(Uha, "VAR_BMS2_SOC", cJSON_CreateNumber(mVars[VAR_BMS2_SOC]));</v>
      </c>
      <c r="P34" t="str">
        <f t="shared" si="5"/>
        <v>cJSON_AddItemToObject(Uha, "VAR_BMS2_SOC", cJSON_CreateNumber(mVars[30]));</v>
      </c>
    </row>
    <row r="35" spans="2:16">
      <c r="B35" s="40"/>
      <c r="C35" s="1">
        <v>31</v>
      </c>
      <c r="D35" s="1" t="str">
        <f t="shared" si="0"/>
        <v>001F</v>
      </c>
      <c r="E35" t="s">
        <v>175</v>
      </c>
      <c r="H35" t="str">
        <f t="shared" si="1"/>
        <v>#define  VAR_BMS2_CURRENT_A10  31</v>
      </c>
      <c r="I35" t="str">
        <f t="shared" si="2"/>
        <v>public const byte VAR_BMS2_CURRENT_A10 = 31;</v>
      </c>
      <c r="L35" t="str">
        <f t="shared" si="4"/>
        <v>UpdateScanList(VAR_BMS2_CURRENT_A10, 5000);</v>
      </c>
      <c r="M35" t="str">
        <f t="shared" si="6"/>
        <v>VAR_SetVariable(VAR_BMS2_CURRENT_A10, mLiveData, validflag);</v>
      </c>
      <c r="O35" t="str">
        <f t="shared" si="3"/>
        <v>cJSON_AddItemToObject(Uha, "VAR_BMS2_CURRENT_A10", cJSON_CreateNumber(mVars[VAR_BMS2_CURRENT_A10]));</v>
      </c>
      <c r="P35" t="str">
        <f t="shared" si="5"/>
        <v>cJSON_AddItemToObject(Uha, "VAR_BMS2_CURRENT_A10", cJSON_CreateNumber(mVars[31]));</v>
      </c>
    </row>
    <row r="36" spans="2:16">
      <c r="B36" s="40"/>
      <c r="C36" s="1">
        <v>32</v>
      </c>
      <c r="D36" s="1" t="str">
        <f t="shared" si="0"/>
        <v>0020</v>
      </c>
      <c r="E36" t="s">
        <v>176</v>
      </c>
      <c r="H36" t="str">
        <f t="shared" si="1"/>
        <v>#define  VAR_BMS2_VOLTAGE_V10  32</v>
      </c>
      <c r="I36" t="str">
        <f t="shared" si="2"/>
        <v>public const byte VAR_BMS2_VOLTAGE_V10 = 32;</v>
      </c>
      <c r="L36" t="str">
        <f t="shared" si="4"/>
        <v>UpdateScanList(VAR_BMS2_VOLTAGE_V10, 5000);</v>
      </c>
      <c r="M36" t="str">
        <f t="shared" si="6"/>
        <v>VAR_SetVariable(VAR_BMS2_VOLTAGE_V10, mLiveData, validflag);</v>
      </c>
      <c r="O36" t="str">
        <f t="shared" si="3"/>
        <v>cJSON_AddItemToObject(Uha, "VAR_BMS2_VOLTAGE_V10", cJSON_CreateNumber(mVars[VAR_BMS2_VOLTAGE_V10]));</v>
      </c>
      <c r="P36" t="str">
        <f t="shared" si="5"/>
        <v>cJSON_AddItemToObject(Uha, "VAR_BMS2_VOLTAGE_V10", cJSON_CreateNumber(mVars[32]));</v>
      </c>
    </row>
    <row r="37" spans="2:16">
      <c r="B37" s="40"/>
      <c r="C37" s="1">
        <v>33</v>
      </c>
      <c r="D37" s="1" t="str">
        <f t="shared" si="0"/>
        <v>0021</v>
      </c>
      <c r="E37" t="s">
        <v>177</v>
      </c>
      <c r="H37" t="str">
        <f t="shared" si="1"/>
        <v>#define  VAR_BMS2_ENERGY_STORED_WH  33</v>
      </c>
      <c r="I37" t="str">
        <f t="shared" si="2"/>
        <v>public const byte VAR_BMS2_ENERGY_STORED_WH = 33;</v>
      </c>
      <c r="L37" t="str">
        <f t="shared" si="4"/>
        <v>UpdateScanList(VAR_BMS2_ENERGY_STORED_WH, 5000);</v>
      </c>
      <c r="M37" t="str">
        <f t="shared" si="6"/>
        <v>VAR_SetVariable(VAR_BMS2_ENERGY_STORED_WH, mLiveData, validflag);</v>
      </c>
      <c r="O37" t="str">
        <f t="shared" si="3"/>
        <v>cJSON_AddItemToObject(Uha, "VAR_BMS2_ENERGY_STORED_WH", cJSON_CreateNumber(mVars[VAR_BMS2_ENERGY_STORED_WH]));</v>
      </c>
      <c r="P37" t="str">
        <f t="shared" si="5"/>
        <v>cJSON_AddItemToObject(Uha, "VAR_BMS2_ENERGY_STORED_WH", cJSON_CreateNumber(mVars[33]));</v>
      </c>
    </row>
    <row r="38" spans="2:16">
      <c r="B38" s="40"/>
      <c r="C38" s="1">
        <v>34</v>
      </c>
      <c r="D38" s="1" t="str">
        <f t="shared" si="0"/>
        <v>0022</v>
      </c>
      <c r="E38" t="s">
        <v>178</v>
      </c>
      <c r="H38" t="str">
        <f t="shared" si="1"/>
        <v>#define  VAR_BMS2_TODAY_ENERGY_WH  34</v>
      </c>
      <c r="I38" t="str">
        <f t="shared" si="2"/>
        <v>public const byte VAR_BMS2_TODAY_ENERGY_WH = 34;</v>
      </c>
      <c r="L38" t="str">
        <f t="shared" si="4"/>
        <v>UpdateScanList(VAR_BMS2_TODAY_ENERGY_WH, 5000);</v>
      </c>
      <c r="M38" t="str">
        <f t="shared" si="6"/>
        <v>VAR_SetVariable(VAR_BMS2_TODAY_ENERGY_WH, mLiveData, validflag);</v>
      </c>
      <c r="O38" t="str">
        <f t="shared" si="3"/>
        <v>cJSON_AddItemToObject(Uha, "VAR_BMS2_TODAY_ENERGY_WH", cJSON_CreateNumber(mVars[VAR_BMS2_TODAY_ENERGY_WH]));</v>
      </c>
      <c r="P38" t="str">
        <f t="shared" si="5"/>
        <v>cJSON_AddItemToObject(Uha, "VAR_BMS2_TODAY_ENERGY_WH", cJSON_CreateNumber(mVars[34]));</v>
      </c>
    </row>
    <row r="39" spans="2:16">
      <c r="B39" s="40"/>
      <c r="C39" s="1">
        <v>35</v>
      </c>
      <c r="D39" s="1" t="str">
        <f t="shared" si="0"/>
        <v>0023</v>
      </c>
      <c r="H39" t="str">
        <f t="shared" si="1"/>
        <v>#define    35</v>
      </c>
      <c r="I39" t="str">
        <f t="shared" si="2"/>
        <v>public const byte  = 35;</v>
      </c>
      <c r="L39" t="str">
        <f t="shared" si="4"/>
        <v>UpdateScanList(, 5000);</v>
      </c>
      <c r="O39" t="str">
        <f t="shared" si="3"/>
        <v/>
      </c>
    </row>
    <row r="40" spans="2:16">
      <c r="B40" s="40"/>
      <c r="C40" s="1">
        <v>36</v>
      </c>
      <c r="D40" s="1" t="str">
        <f t="shared" si="0"/>
        <v>0024</v>
      </c>
      <c r="H40" t="str">
        <f t="shared" si="1"/>
        <v>#define    36</v>
      </c>
      <c r="I40" t="str">
        <f t="shared" si="2"/>
        <v>public const byte  = 36;</v>
      </c>
      <c r="L40" t="str">
        <f t="shared" si="4"/>
        <v>UpdateScanList(, 5000);</v>
      </c>
      <c r="O40" t="str">
        <f t="shared" si="3"/>
        <v/>
      </c>
    </row>
    <row r="41" spans="2:16">
      <c r="B41" s="40"/>
      <c r="C41" s="1">
        <v>37</v>
      </c>
      <c r="D41" s="1" t="str">
        <f t="shared" si="0"/>
        <v>0025</v>
      </c>
      <c r="H41" t="str">
        <f t="shared" si="1"/>
        <v>#define    37</v>
      </c>
      <c r="I41" t="str">
        <f t="shared" si="2"/>
        <v>public const byte  = 37;</v>
      </c>
      <c r="L41" t="str">
        <f t="shared" si="4"/>
        <v>UpdateScanList(, 5000);</v>
      </c>
      <c r="O41" t="str">
        <f t="shared" si="3"/>
        <v/>
      </c>
    </row>
    <row r="42" spans="2:16">
      <c r="B42" s="40"/>
      <c r="C42" s="1">
        <v>38</v>
      </c>
      <c r="D42" s="1" t="str">
        <f t="shared" si="0"/>
        <v>0026</v>
      </c>
      <c r="H42" t="str">
        <f t="shared" si="1"/>
        <v>#define    38</v>
      </c>
      <c r="I42" t="str">
        <f t="shared" si="2"/>
        <v>public const byte  = 38;</v>
      </c>
      <c r="L42" t="str">
        <f t="shared" si="4"/>
        <v>UpdateScanList(, 5000);</v>
      </c>
      <c r="O42" t="str">
        <f t="shared" si="3"/>
        <v/>
      </c>
    </row>
    <row r="43" spans="2:16">
      <c r="B43" s="40"/>
      <c r="C43" s="1">
        <v>39</v>
      </c>
      <c r="D43" s="1" t="str">
        <f t="shared" si="0"/>
        <v>0027</v>
      </c>
      <c r="H43" t="str">
        <f t="shared" si="1"/>
        <v>#define    39</v>
      </c>
      <c r="I43" t="str">
        <f t="shared" si="2"/>
        <v>public const byte  = 39;</v>
      </c>
      <c r="L43" t="str">
        <f t="shared" si="4"/>
        <v>UpdateScanList(, 5000);</v>
      </c>
      <c r="O43" t="str">
        <f t="shared" si="3"/>
        <v/>
      </c>
    </row>
    <row r="44" spans="2:16">
      <c r="B44" s="40"/>
      <c r="C44" s="1">
        <v>40</v>
      </c>
      <c r="D44" s="1" t="str">
        <f t="shared" si="0"/>
        <v>0028</v>
      </c>
      <c r="E44" t="s">
        <v>179</v>
      </c>
      <c r="H44" t="str">
        <f t="shared" si="1"/>
        <v>#define  VAR_MPPT_BAT_CURRENT_A10  40</v>
      </c>
      <c r="I44" t="str">
        <f t="shared" si="2"/>
        <v>public const byte VAR_MPPT_BAT_CURRENT_A10 = 40;</v>
      </c>
      <c r="L44" t="str">
        <f t="shared" si="4"/>
        <v>UpdateScanList(VAR_MPPT_BAT_CURRENT_A10, 5000);</v>
      </c>
      <c r="O44" t="str">
        <f t="shared" si="3"/>
        <v>cJSON_AddItemToObject(Uha, "VAR_MPPT_BAT_CURRENT_A10", cJSON_CreateNumber(mVars[VAR_MPPT_BAT_CURRENT_A10]));</v>
      </c>
      <c r="P44" t="str">
        <f t="shared" si="5"/>
        <v>cJSON_AddItemToObject(Uha, "VAR_MPPT_BAT_CURRENT_A10", cJSON_CreateNumber(mVars[40]));</v>
      </c>
    </row>
    <row r="45" spans="2:16">
      <c r="B45" s="40"/>
      <c r="C45" s="1">
        <v>41</v>
      </c>
      <c r="D45" s="1" t="str">
        <f t="shared" si="0"/>
        <v>0029</v>
      </c>
      <c r="E45" t="s">
        <v>180</v>
      </c>
      <c r="H45" t="str">
        <f t="shared" si="1"/>
        <v>#define  VAR_MPPT_BAT_VOLTAGE_V100  41</v>
      </c>
      <c r="I45" t="str">
        <f t="shared" si="2"/>
        <v>public const byte VAR_MPPT_BAT_VOLTAGE_V100 = 41;</v>
      </c>
      <c r="L45" t="str">
        <f t="shared" si="4"/>
        <v>UpdateScanList(VAR_MPPT_BAT_VOLTAGE_V100, 5000);</v>
      </c>
      <c r="O45" t="str">
        <f t="shared" si="3"/>
        <v>cJSON_AddItemToObject(Uha, "VAR_MPPT_BAT_VOLTAGE_V100", cJSON_CreateNumber(mVars[VAR_MPPT_BAT_VOLTAGE_V100]));</v>
      </c>
      <c r="P45" t="str">
        <f t="shared" si="5"/>
        <v>cJSON_AddItemToObject(Uha, "VAR_MPPT_BAT_VOLTAGE_V100", cJSON_CreateNumber(mVars[41]));</v>
      </c>
    </row>
    <row r="46" spans="2:16">
      <c r="B46" s="40"/>
      <c r="C46" s="1">
        <v>42</v>
      </c>
      <c r="D46" s="1" t="str">
        <f t="shared" si="0"/>
        <v>002A</v>
      </c>
      <c r="E46" t="s">
        <v>181</v>
      </c>
      <c r="H46" t="str">
        <f t="shared" si="1"/>
        <v>#define  VAR_MPPT_YIELD_TODAY_10WH  42</v>
      </c>
      <c r="I46" t="str">
        <f t="shared" si="2"/>
        <v>public const byte VAR_MPPT_YIELD_TODAY_10WH = 42;</v>
      </c>
      <c r="L46" t="str">
        <f t="shared" si="4"/>
        <v>UpdateScanList(VAR_MPPT_YIELD_TODAY_10WH, 5000);</v>
      </c>
      <c r="O46" t="str">
        <f t="shared" si="3"/>
        <v>cJSON_AddItemToObject(Uha, "VAR_MPPT_YIELD_TODAY_10WH", cJSON_CreateNumber(mVars[VAR_MPPT_YIELD_TODAY_10WH]));</v>
      </c>
      <c r="P46" t="str">
        <f t="shared" si="5"/>
        <v>cJSON_AddItemToObject(Uha, "VAR_MPPT_YIELD_TODAY_10WH", cJSON_CreateNumber(mVars[42]));</v>
      </c>
    </row>
    <row r="47" spans="2:16">
      <c r="B47" s="40"/>
      <c r="C47" s="1">
        <v>43</v>
      </c>
      <c r="D47" s="1" t="str">
        <f t="shared" si="0"/>
        <v>002B</v>
      </c>
      <c r="E47" t="s">
        <v>182</v>
      </c>
      <c r="H47" t="str">
        <f t="shared" si="1"/>
        <v>#define  VAR_MPPT_MAX_TODAY_W  43</v>
      </c>
      <c r="I47" t="str">
        <f t="shared" si="2"/>
        <v>public const byte VAR_MPPT_MAX_TODAY_W = 43;</v>
      </c>
      <c r="L47" t="str">
        <f t="shared" si="4"/>
        <v>UpdateScanList(VAR_MPPT_MAX_TODAY_W, 5000);</v>
      </c>
      <c r="O47" t="str">
        <f t="shared" si="3"/>
        <v>cJSON_AddItemToObject(Uha, "VAR_MPPT_MAX_TODAY_W", cJSON_CreateNumber(mVars[VAR_MPPT_MAX_TODAY_W]));</v>
      </c>
      <c r="P47" t="str">
        <f t="shared" si="5"/>
        <v>cJSON_AddItemToObject(Uha, "VAR_MPPT_MAX_TODAY_W", cJSON_CreateNumber(mVars[43]));</v>
      </c>
    </row>
    <row r="48" spans="2:16">
      <c r="B48" s="40"/>
      <c r="C48" s="1">
        <v>44</v>
      </c>
      <c r="D48" s="1" t="str">
        <f t="shared" si="0"/>
        <v>002C</v>
      </c>
      <c r="E48" t="s">
        <v>183</v>
      </c>
      <c r="H48" t="str">
        <f t="shared" si="1"/>
        <v>#define  VAR_MPPT_SOLAR_POWER_W  44</v>
      </c>
      <c r="I48" t="str">
        <f t="shared" si="2"/>
        <v>public const byte VAR_MPPT_SOLAR_POWER_W = 44;</v>
      </c>
      <c r="L48" t="str">
        <f t="shared" si="4"/>
        <v>UpdateScanList(VAR_MPPT_SOLAR_POWER_W, 5000);</v>
      </c>
      <c r="O48" t="str">
        <f t="shared" si="3"/>
        <v>cJSON_AddItemToObject(Uha, "VAR_MPPT_SOLAR_POWER_W", cJSON_CreateNumber(mVars[VAR_MPPT_SOLAR_POWER_W]));</v>
      </c>
      <c r="P48" t="str">
        <f t="shared" si="5"/>
        <v>cJSON_AddItemToObject(Uha, "VAR_MPPT_SOLAR_POWER_W", cJSON_CreateNumber(mVars[44]));</v>
      </c>
    </row>
    <row r="49" spans="2:16">
      <c r="B49" s="40"/>
      <c r="C49" s="1">
        <v>45</v>
      </c>
      <c r="D49" s="1" t="str">
        <f t="shared" si="0"/>
        <v>002D</v>
      </c>
      <c r="E49" t="s">
        <v>184</v>
      </c>
      <c r="H49" t="str">
        <f t="shared" si="1"/>
        <v>#define  VAR_MPPT_SOLAR_VOLTAGE_V100  45</v>
      </c>
      <c r="I49" t="str">
        <f t="shared" si="2"/>
        <v>public const byte VAR_MPPT_SOLAR_VOLTAGE_V100 = 45;</v>
      </c>
      <c r="L49" t="str">
        <f t="shared" si="4"/>
        <v>UpdateScanList(VAR_MPPT_SOLAR_VOLTAGE_V100, 5000);</v>
      </c>
      <c r="O49" t="str">
        <f t="shared" si="3"/>
        <v>cJSON_AddItemToObject(Uha, "VAR_MPPT_SOLAR_VOLTAGE_V100", cJSON_CreateNumber(mVars[VAR_MPPT_SOLAR_VOLTAGE_V100]));</v>
      </c>
      <c r="P49" t="str">
        <f t="shared" si="5"/>
        <v>cJSON_AddItemToObject(Uha, "VAR_MPPT_SOLAR_VOLTAGE_V100", cJSON_CreateNumber(mVars[45]));</v>
      </c>
    </row>
    <row r="50" spans="2:16">
      <c r="B50" s="40"/>
      <c r="C50" s="1">
        <v>46</v>
      </c>
      <c r="D50" s="1" t="str">
        <f t="shared" si="0"/>
        <v>002E</v>
      </c>
      <c r="E50" t="s">
        <v>185</v>
      </c>
      <c r="H50" t="str">
        <f t="shared" si="1"/>
        <v>#define  VAR_MPPT_SOLAR_CURRENT_A10  46</v>
      </c>
      <c r="I50" t="str">
        <f t="shared" si="2"/>
        <v>public const byte VAR_MPPT_SOLAR_CURRENT_A10 = 46;</v>
      </c>
      <c r="L50" t="str">
        <f t="shared" si="4"/>
        <v>UpdateScanList(VAR_MPPT_SOLAR_CURRENT_A10, 5000);</v>
      </c>
      <c r="O50" t="str">
        <f t="shared" si="3"/>
        <v>cJSON_AddItemToObject(Uha, "VAR_MPPT_SOLAR_CURRENT_A10", cJSON_CreateNumber(mVars[VAR_MPPT_SOLAR_CURRENT_A10]));</v>
      </c>
      <c r="P50" t="str">
        <f t="shared" si="5"/>
        <v>cJSON_AddItemToObject(Uha, "VAR_MPPT_SOLAR_CURRENT_A10", cJSON_CreateNumber(mVars[46]));</v>
      </c>
    </row>
    <row r="51" spans="2:16">
      <c r="B51" s="40"/>
      <c r="C51" s="1">
        <v>47</v>
      </c>
      <c r="D51" s="1" t="str">
        <f t="shared" si="0"/>
        <v>002F</v>
      </c>
      <c r="E51" t="s">
        <v>186</v>
      </c>
      <c r="H51" t="str">
        <f t="shared" si="1"/>
        <v>#define  VAR_MPPT_SOLAR_MAX_VOLTAGE_V100  47</v>
      </c>
      <c r="I51" t="str">
        <f t="shared" si="2"/>
        <v>public const byte VAR_MPPT_SOLAR_MAX_VOLTAGE_V100 = 47;</v>
      </c>
      <c r="L51" t="str">
        <f t="shared" si="4"/>
        <v>UpdateScanList(VAR_MPPT_SOLAR_MAX_VOLTAGE_V100, 5000);</v>
      </c>
      <c r="O51" t="str">
        <f t="shared" si="3"/>
        <v>cJSON_AddItemToObject(Uha, "VAR_MPPT_SOLAR_MAX_VOLTAGE_V100", cJSON_CreateNumber(mVars[VAR_MPPT_SOLAR_MAX_VOLTAGE_V100]));</v>
      </c>
      <c r="P51" t="str">
        <f t="shared" si="5"/>
        <v>cJSON_AddItemToObject(Uha, "VAR_MPPT_SOLAR_MAX_VOLTAGE_V100", cJSON_CreateNumber(mVars[47]));</v>
      </c>
    </row>
    <row r="52" spans="2:16">
      <c r="B52" s="40"/>
      <c r="C52" s="1">
        <v>48</v>
      </c>
      <c r="D52" s="1" t="str">
        <f t="shared" si="0"/>
        <v>0030</v>
      </c>
      <c r="E52" t="s">
        <v>251</v>
      </c>
      <c r="H52" t="str">
        <f t="shared" si="1"/>
        <v>#define  VAR_MPPT_MAX_BAT_CURRENT_A10  48</v>
      </c>
      <c r="I52" t="str">
        <f t="shared" si="2"/>
        <v>public const byte VAR_MPPT_MAX_BAT_CURRENT_A10 = 48;</v>
      </c>
      <c r="L52" t="str">
        <f t="shared" si="4"/>
        <v>UpdateScanList(VAR_MPPT_MAX_BAT_CURRENT_A10, 5000);</v>
      </c>
      <c r="O52" t="str">
        <f t="shared" si="3"/>
        <v>cJSON_AddItemToObject(Uha, "VAR_MPPT_MAX_BAT_CURRENT_A10", cJSON_CreateNumber(mVars[VAR_MPPT_MAX_BAT_CURRENT_A10]));</v>
      </c>
      <c r="P52" t="str">
        <f t="shared" si="5"/>
        <v>cJSON_AddItemToObject(Uha, "VAR_MPPT_MAX_BAT_CURRENT_A10", cJSON_CreateNumber(mVars[48]));</v>
      </c>
    </row>
    <row r="53" spans="2:16">
      <c r="B53" s="40"/>
      <c r="C53" s="1">
        <v>49</v>
      </c>
      <c r="D53" s="1" t="str">
        <f t="shared" si="0"/>
        <v>0031</v>
      </c>
      <c r="E53" s="25" t="s">
        <v>424</v>
      </c>
      <c r="H53" t="str">
        <f t="shared" si="1"/>
        <v>#define  VAR_MPPT_ENERGY_TODAY_WH  49</v>
      </c>
      <c r="I53" t="str">
        <f t="shared" si="2"/>
        <v>public const byte VAR_MPPT_ENERGY_TODAY_WH = 49;</v>
      </c>
      <c r="L53" t="str">
        <f t="shared" si="4"/>
        <v>UpdateScanList(VAR_MPPT_ENERGY_TODAY_WH, 5000);</v>
      </c>
      <c r="O53" t="str">
        <f t="shared" si="3"/>
        <v>cJSON_AddItemToObject(Uha, "VAR_MPPT_ENERGY_TODAY_WH", cJSON_CreateNumber(mVars[VAR_MPPT_ENERGY_TODAY_WH]));</v>
      </c>
    </row>
    <row r="54" spans="2:16">
      <c r="B54" s="40"/>
      <c r="C54" s="1">
        <v>50</v>
      </c>
      <c r="D54" s="1" t="str">
        <f t="shared" si="0"/>
        <v>0032</v>
      </c>
      <c r="E54" t="s">
        <v>353</v>
      </c>
      <c r="H54" t="str">
        <f t="shared" si="1"/>
        <v>#define  VAR_SHUNT_PCK1_CURRENT_A100  50</v>
      </c>
      <c r="I54" t="str">
        <f t="shared" si="2"/>
        <v>public const byte VAR_SHUNT_PCK1_CURRENT_A100 = 50;</v>
      </c>
      <c r="L54" t="str">
        <f t="shared" si="4"/>
        <v>UpdateScanList(VAR_SHUNT_PCK1_CURRENT_A100, 5000);</v>
      </c>
      <c r="O54" t="str">
        <f t="shared" si="3"/>
        <v>cJSON_AddItemToObject(Uha, "VAR_SHUNT_PCK1_CURRENT_A100", cJSON_CreateNumber(mVars[VAR_SHUNT_PCK1_CURRENT_A100]));</v>
      </c>
      <c r="P54" t="str">
        <f t="shared" si="5"/>
        <v>cJSON_AddItemToObject(Uha, "VAR_SHUNT_PCK1_CURRENT_A100", cJSON_CreateNumber(mVars[50]));</v>
      </c>
    </row>
    <row r="55" spans="2:16">
      <c r="B55" s="40"/>
      <c r="C55" s="1">
        <v>51</v>
      </c>
      <c r="D55" s="1" t="str">
        <f t="shared" si="0"/>
        <v>0033</v>
      </c>
      <c r="E55" s="25" t="s">
        <v>354</v>
      </c>
      <c r="H55" t="str">
        <f t="shared" si="1"/>
        <v>#define  VAR_SHUNT_PCK2_CURRENT_A100  51</v>
      </c>
      <c r="I55" t="str">
        <f t="shared" si="2"/>
        <v>public const byte VAR_SHUNT_PCK2_CURRENT_A100 = 51;</v>
      </c>
      <c r="L55" t="str">
        <f t="shared" si="4"/>
        <v>UpdateScanList(VAR_SHUNT_PCK2_CURRENT_A100, 5000);</v>
      </c>
      <c r="O55" t="str">
        <f t="shared" si="3"/>
        <v>cJSON_AddItemToObject(Uha, "VAR_SHUNT_PCK2_CURRENT_A100", cJSON_CreateNumber(mVars[VAR_SHUNT_PCK2_CURRENT_A100]));</v>
      </c>
    </row>
    <row r="56" spans="2:16">
      <c r="B56" s="40"/>
      <c r="C56" s="1">
        <v>52</v>
      </c>
      <c r="D56" s="1" t="str">
        <f t="shared" si="0"/>
        <v>0034</v>
      </c>
      <c r="E56" s="25" t="s">
        <v>411</v>
      </c>
      <c r="H56" t="str">
        <f t="shared" si="1"/>
        <v>#define  VAR_BATPACK1_POWER_W  52</v>
      </c>
      <c r="I56" t="str">
        <f t="shared" si="2"/>
        <v>public const byte VAR_BATPACK1_POWER_W = 52;</v>
      </c>
      <c r="L56" t="str">
        <f t="shared" si="4"/>
        <v>UpdateScanList(VAR_BATPACK1_POWER_W, 5000);</v>
      </c>
      <c r="O56" t="str">
        <f t="shared" si="3"/>
        <v>cJSON_AddItemToObject(Uha, "VAR_BATPACK1_POWER_W", cJSON_CreateNumber(mVars[VAR_BATPACK1_POWER_W]));</v>
      </c>
    </row>
    <row r="57" spans="2:16">
      <c r="B57" s="40"/>
      <c r="C57" s="1">
        <v>53</v>
      </c>
      <c r="D57" s="1" t="str">
        <f t="shared" si="0"/>
        <v>0035</v>
      </c>
      <c r="E57" s="25" t="s">
        <v>400</v>
      </c>
      <c r="H57" t="str">
        <f t="shared" si="1"/>
        <v>#define  VAR_BATPACK1_SOC  53</v>
      </c>
      <c r="I57" t="str">
        <f t="shared" si="2"/>
        <v>public const byte VAR_BATPACK1_SOC = 53;</v>
      </c>
      <c r="L57" t="str">
        <f t="shared" si="4"/>
        <v>UpdateScanList(VAR_BATPACK1_SOC, 5000);</v>
      </c>
      <c r="O57" t="str">
        <f t="shared" si="3"/>
        <v>cJSON_AddItemToObject(Uha, "VAR_BATPACK1_SOC", cJSON_CreateNumber(mVars[VAR_BATPACK1_SOC]));</v>
      </c>
    </row>
    <row r="58" spans="2:16">
      <c r="B58" s="40"/>
      <c r="C58" s="1">
        <v>54</v>
      </c>
      <c r="D58" s="1" t="str">
        <f t="shared" si="0"/>
        <v>0036</v>
      </c>
      <c r="E58" s="25" t="s">
        <v>401</v>
      </c>
      <c r="H58" t="str">
        <f t="shared" si="1"/>
        <v>#define  VAR_BATPACK1_CURRENT_A10  54</v>
      </c>
      <c r="I58" t="str">
        <f t="shared" si="2"/>
        <v>public const byte VAR_BATPACK1_CURRENT_A10 = 54;</v>
      </c>
      <c r="L58" t="str">
        <f t="shared" si="4"/>
        <v>UpdateScanList(VAR_BATPACK1_CURRENT_A10, 5000);</v>
      </c>
      <c r="O58" t="str">
        <f t="shared" si="3"/>
        <v>cJSON_AddItemToObject(Uha, "VAR_BATPACK1_CURRENT_A10", cJSON_CreateNumber(mVars[VAR_BATPACK1_CURRENT_A10]));</v>
      </c>
    </row>
    <row r="59" spans="2:16">
      <c r="B59" s="40"/>
      <c r="C59" s="1">
        <v>55</v>
      </c>
      <c r="D59" s="1" t="str">
        <f t="shared" si="0"/>
        <v>0037</v>
      </c>
      <c r="E59" s="25" t="s">
        <v>402</v>
      </c>
      <c r="H59" t="str">
        <f t="shared" si="1"/>
        <v>#define  VAR_BATPACK1_ENERGY_WH  55</v>
      </c>
      <c r="I59" t="str">
        <f t="shared" si="2"/>
        <v>public const byte VAR_BATPACK1_ENERGY_WH = 55;</v>
      </c>
      <c r="L59" t="str">
        <f t="shared" si="4"/>
        <v>UpdateScanList(VAR_BATPACK1_ENERGY_WH, 5000);</v>
      </c>
      <c r="O59" t="str">
        <f t="shared" si="3"/>
        <v>cJSON_AddItemToObject(Uha, "VAR_BATPACK1_ENERGY_WH", cJSON_CreateNumber(mVars[VAR_BATPACK1_ENERGY_WH]));</v>
      </c>
    </row>
    <row r="60" spans="2:16">
      <c r="B60" s="40"/>
      <c r="C60" s="1">
        <v>56</v>
      </c>
      <c r="D60" s="1" t="str">
        <f t="shared" si="0"/>
        <v>0038</v>
      </c>
      <c r="E60" s="25" t="s">
        <v>410</v>
      </c>
      <c r="H60" t="str">
        <f t="shared" si="1"/>
        <v>#define  VAR_BATPACK2_POWER_W  56</v>
      </c>
      <c r="I60" t="str">
        <f t="shared" si="2"/>
        <v>public const byte VAR_BATPACK2_POWER_W = 56;</v>
      </c>
      <c r="L60" t="str">
        <f t="shared" si="4"/>
        <v>UpdateScanList(VAR_BATPACK2_POWER_W, 5000);</v>
      </c>
      <c r="O60" t="str">
        <f t="shared" si="3"/>
        <v>cJSON_AddItemToObject(Uha, "VAR_BATPACK2_POWER_W", cJSON_CreateNumber(mVars[VAR_BATPACK2_POWER_W]));</v>
      </c>
    </row>
    <row r="61" spans="2:16">
      <c r="B61" s="40"/>
      <c r="C61" s="1">
        <v>57</v>
      </c>
      <c r="D61" s="1" t="str">
        <f t="shared" si="0"/>
        <v>0039</v>
      </c>
      <c r="E61" s="25" t="s">
        <v>403</v>
      </c>
      <c r="H61" t="str">
        <f t="shared" si="1"/>
        <v>#define  VAR_BATPACK2_SOC  57</v>
      </c>
      <c r="I61" t="str">
        <f t="shared" si="2"/>
        <v>public const byte VAR_BATPACK2_SOC = 57;</v>
      </c>
      <c r="L61" t="str">
        <f t="shared" si="4"/>
        <v>UpdateScanList(VAR_BATPACK2_SOC, 5000);</v>
      </c>
      <c r="O61" t="str">
        <f t="shared" si="3"/>
        <v>cJSON_AddItemToObject(Uha, "VAR_BATPACK2_SOC", cJSON_CreateNumber(mVars[VAR_BATPACK2_SOC]));</v>
      </c>
    </row>
    <row r="62" spans="2:16">
      <c r="B62" s="40"/>
      <c r="C62" s="1">
        <v>58</v>
      </c>
      <c r="D62" s="1" t="str">
        <f t="shared" si="0"/>
        <v>003A</v>
      </c>
      <c r="E62" s="25" t="s">
        <v>404</v>
      </c>
      <c r="H62" t="str">
        <f t="shared" si="1"/>
        <v>#define  VAR_BATPACK2_CURRENT_A10  58</v>
      </c>
      <c r="I62" t="str">
        <f t="shared" si="2"/>
        <v>public const byte VAR_BATPACK2_CURRENT_A10 = 58;</v>
      </c>
      <c r="L62" t="str">
        <f t="shared" si="4"/>
        <v>UpdateScanList(VAR_BATPACK2_CURRENT_A10, 5000);</v>
      </c>
      <c r="O62" t="str">
        <f t="shared" si="3"/>
        <v>cJSON_AddItemToObject(Uha, "VAR_BATPACK2_CURRENT_A10", cJSON_CreateNumber(mVars[VAR_BATPACK2_CURRENT_A10]));</v>
      </c>
    </row>
    <row r="63" spans="2:16">
      <c r="B63" s="40"/>
      <c r="C63" s="1">
        <v>59</v>
      </c>
      <c r="D63" s="1" t="str">
        <f t="shared" si="0"/>
        <v>003B</v>
      </c>
      <c r="E63" s="25" t="s">
        <v>405</v>
      </c>
      <c r="H63" t="str">
        <f t="shared" si="1"/>
        <v>#define  VAR_BATPACK2_ENERGY_WH  59</v>
      </c>
      <c r="I63" t="str">
        <f t="shared" si="2"/>
        <v>public const byte VAR_BATPACK2_ENERGY_WH = 59;</v>
      </c>
      <c r="L63" t="str">
        <f t="shared" si="4"/>
        <v>UpdateScanList(VAR_BATPACK2_ENERGY_WH, 5000);</v>
      </c>
      <c r="O63" t="str">
        <f t="shared" si="3"/>
        <v>cJSON_AddItemToObject(Uha, "VAR_BATPACK2_ENERGY_WH", cJSON_CreateNumber(mVars[VAR_BATPACK2_ENERGY_WH]));</v>
      </c>
    </row>
    <row r="64" spans="2:16">
      <c r="B64" s="40"/>
      <c r="C64" s="1">
        <v>60</v>
      </c>
      <c r="D64" s="1" t="str">
        <f t="shared" si="0"/>
        <v>003C</v>
      </c>
      <c r="E64" t="s">
        <v>261</v>
      </c>
      <c r="H64" t="str">
        <f t="shared" si="1"/>
        <v>#define  VAR_CONS_AC300_WH  60</v>
      </c>
      <c r="I64" t="str">
        <f t="shared" si="2"/>
        <v>public const byte VAR_CONS_AC300_WH = 60;</v>
      </c>
      <c r="L64" t="str">
        <f t="shared" si="4"/>
        <v>UpdateScanList(VAR_CONS_AC300_WH, 5000);</v>
      </c>
      <c r="N64" t="str">
        <f>CONCATENATE("COM_AddStreamedVariable(",E64, ", 1000);")</f>
        <v>COM_AddStreamedVariable(VAR_CONS_AC300_WH, 1000);</v>
      </c>
      <c r="O64" t="str">
        <f t="shared" si="3"/>
        <v>cJSON_AddItemToObject(Uha, "VAR_CONS_AC300_WH", cJSON_CreateNumber(mVars[VAR_CONS_AC300_WH]));</v>
      </c>
      <c r="P64" t="str">
        <f t="shared" ref="P64:P81" si="7">CONCATENATE("cJSON_AddItemToObject(Uha, ","""",E64,"""",", cJSON_CreateNumber(mVars[",C64,"]));")</f>
        <v>cJSON_AddItemToObject(Uha, "VAR_CONS_AC300_WH", cJSON_CreateNumber(mVars[60]));</v>
      </c>
    </row>
    <row r="65" spans="2:16">
      <c r="B65" s="40"/>
      <c r="C65" s="1">
        <v>61</v>
      </c>
      <c r="D65" s="1" t="str">
        <f t="shared" si="0"/>
        <v>003D</v>
      </c>
      <c r="E65" t="s">
        <v>260</v>
      </c>
      <c r="H65" t="str">
        <f t="shared" si="1"/>
        <v>#define  VAR_CONS_AC3KW_WH  61</v>
      </c>
      <c r="I65" t="str">
        <f t="shared" si="2"/>
        <v>public const byte VAR_CONS_AC3KW_WH = 61;</v>
      </c>
      <c r="L65" t="str">
        <f t="shared" si="4"/>
        <v>UpdateScanList(VAR_CONS_AC3KW_WH, 5000);</v>
      </c>
      <c r="N65" t="str">
        <f t="shared" ref="N65:N128" si="8">CONCATENATE("COM_AddStreamedVariable(",E65, ", 1000);")</f>
        <v>COM_AddStreamedVariable(VAR_CONS_AC3KW_WH, 1000);</v>
      </c>
      <c r="O65" t="str">
        <f t="shared" si="3"/>
        <v>cJSON_AddItemToObject(Uha, "VAR_CONS_AC3KW_WH", cJSON_CreateNumber(mVars[VAR_CONS_AC3KW_WH]));</v>
      </c>
      <c r="P65" t="str">
        <f t="shared" si="7"/>
        <v>cJSON_AddItemToObject(Uha, "VAR_CONS_AC3KW_WH", cJSON_CreateNumber(mVars[61]));</v>
      </c>
    </row>
    <row r="66" spans="2:16">
      <c r="B66" s="40"/>
      <c r="C66" s="1">
        <v>62</v>
      </c>
      <c r="D66" s="1" t="str">
        <f t="shared" si="0"/>
        <v>003E</v>
      </c>
      <c r="E66" t="s">
        <v>259</v>
      </c>
      <c r="H66" t="str">
        <f t="shared" si="1"/>
        <v>#define  VAR_CONS_AC5KW_WH  62</v>
      </c>
      <c r="I66" t="str">
        <f t="shared" si="2"/>
        <v>public const byte VAR_CONS_AC5KW_WH = 62;</v>
      </c>
      <c r="L66" t="str">
        <f t="shared" si="4"/>
        <v>UpdateScanList(VAR_CONS_AC5KW_WH, 5000);</v>
      </c>
      <c r="N66" t="str">
        <f t="shared" si="8"/>
        <v>COM_AddStreamedVariable(VAR_CONS_AC5KW_WH, 1000);</v>
      </c>
      <c r="O66" t="str">
        <f t="shared" si="3"/>
        <v>cJSON_AddItemToObject(Uha, "VAR_CONS_AC5KW_WH", cJSON_CreateNumber(mVars[VAR_CONS_AC5KW_WH]));</v>
      </c>
      <c r="P66" t="str">
        <f t="shared" si="7"/>
        <v>cJSON_AddItemToObject(Uha, "VAR_CONS_AC5KW_WH", cJSON_CreateNumber(mVars[62]));</v>
      </c>
    </row>
    <row r="67" spans="2:16">
      <c r="B67" s="40"/>
      <c r="C67" s="1">
        <v>63</v>
      </c>
      <c r="D67" s="1" t="str">
        <f t="shared" si="0"/>
        <v>003F</v>
      </c>
      <c r="E67" t="s">
        <v>258</v>
      </c>
      <c r="H67" t="str">
        <f t="shared" si="1"/>
        <v>#define  VAR_CONS_FRIDGE_WH  63</v>
      </c>
      <c r="I67" t="str">
        <f t="shared" si="2"/>
        <v>public const byte VAR_CONS_FRIDGE_WH = 63;</v>
      </c>
      <c r="L67" t="str">
        <f t="shared" si="4"/>
        <v>UpdateScanList(VAR_CONS_FRIDGE_WH, 5000);</v>
      </c>
      <c r="N67" t="str">
        <f t="shared" si="8"/>
        <v>COM_AddStreamedVariable(VAR_CONS_FRIDGE_WH, 1000);</v>
      </c>
      <c r="O67" t="str">
        <f t="shared" si="3"/>
        <v>cJSON_AddItemToObject(Uha, "VAR_CONS_FRIDGE_WH", cJSON_CreateNumber(mVars[VAR_CONS_FRIDGE_WH]));</v>
      </c>
      <c r="P67" t="str">
        <f t="shared" si="7"/>
        <v>cJSON_AddItemToObject(Uha, "VAR_CONS_FRIDGE_WH", cJSON_CreateNumber(mVars[63]));</v>
      </c>
    </row>
    <row r="68" spans="2:16">
      <c r="B68" s="40"/>
      <c r="C68" s="1">
        <v>64</v>
      </c>
      <c r="D68" s="1" t="str">
        <f t="shared" ref="D68:D131" si="9">DEC2HEX(C68,4)</f>
        <v>0040</v>
      </c>
      <c r="E68" t="s">
        <v>262</v>
      </c>
      <c r="H68" t="str">
        <f t="shared" ref="H68:H103" si="10">CONCATENATE("#define  ",E68,"  ",C68)</f>
        <v>#define  VAR_CONS_KITCHEN_WH  64</v>
      </c>
      <c r="I68" t="str">
        <f t="shared" ref="I68:I103" si="11">CONCATENATE("public const byte ",E68," = ",C68,";")</f>
        <v>public const byte VAR_CONS_KITCHEN_WH = 64;</v>
      </c>
      <c r="L68" t="str">
        <f t="shared" si="4"/>
        <v>UpdateScanList(VAR_CONS_KITCHEN_WH, 5000);</v>
      </c>
      <c r="N68" t="str">
        <f t="shared" si="8"/>
        <v>COM_AddStreamedVariable(VAR_CONS_KITCHEN_WH, 1000);</v>
      </c>
      <c r="O68" t="str">
        <f t="shared" si="3"/>
        <v>cJSON_AddItemToObject(Uha, "VAR_CONS_KITCHEN_WH", cJSON_CreateNumber(mVars[VAR_CONS_KITCHEN_WH]));</v>
      </c>
      <c r="P68" t="str">
        <f t="shared" si="7"/>
        <v>cJSON_AddItemToObject(Uha, "VAR_CONS_KITCHEN_WH", cJSON_CreateNumber(mVars[64]));</v>
      </c>
    </row>
    <row r="69" spans="2:16">
      <c r="B69" s="40"/>
      <c r="C69" s="1">
        <v>65</v>
      </c>
      <c r="D69" s="1" t="str">
        <f t="shared" si="9"/>
        <v>0041</v>
      </c>
      <c r="E69" t="s">
        <v>263</v>
      </c>
      <c r="H69" t="str">
        <f t="shared" si="10"/>
        <v>#define  VAR_CONS_WASCHMACHINE_WH  65</v>
      </c>
      <c r="I69" t="str">
        <f t="shared" si="11"/>
        <v>public const byte VAR_CONS_WASCHMACHINE_WH = 65;</v>
      </c>
      <c r="L69" t="str">
        <f t="shared" si="4"/>
        <v>UpdateScanList(VAR_CONS_WASCHMACHINE_WH, 5000);</v>
      </c>
      <c r="N69" t="str">
        <f t="shared" si="8"/>
        <v>COM_AddStreamedVariable(VAR_CONS_WASCHMACHINE_WH, 1000);</v>
      </c>
      <c r="O69" t="str">
        <f t="shared" si="3"/>
        <v>cJSON_AddItemToObject(Uha, "VAR_CONS_WASCHMACHINE_WH", cJSON_CreateNumber(mVars[VAR_CONS_WASCHMACHINE_WH]));</v>
      </c>
      <c r="P69" t="str">
        <f t="shared" si="7"/>
        <v>cJSON_AddItemToObject(Uha, "VAR_CONS_WASCHMACHINE_WH", cJSON_CreateNumber(mVars[65]));</v>
      </c>
    </row>
    <row r="70" spans="2:16">
      <c r="B70" s="40"/>
      <c r="C70" s="1">
        <v>66</v>
      </c>
      <c r="D70" s="1" t="str">
        <f t="shared" si="9"/>
        <v>0042</v>
      </c>
      <c r="E70" t="s">
        <v>264</v>
      </c>
      <c r="H70" t="str">
        <f t="shared" si="10"/>
        <v>#define  VAR_CONS_OTHER_WH  66</v>
      </c>
      <c r="I70" t="str">
        <f t="shared" si="11"/>
        <v>public const byte VAR_CONS_OTHER_WH = 66;</v>
      </c>
      <c r="L70" t="str">
        <f t="shared" si="4"/>
        <v>UpdateScanList(VAR_CONS_OTHER_WH, 5000);</v>
      </c>
      <c r="N70" t="str">
        <f t="shared" si="8"/>
        <v>COM_AddStreamedVariable(VAR_CONS_OTHER_WH, 1000);</v>
      </c>
      <c r="O70" t="str">
        <f t="shared" si="3"/>
        <v>cJSON_AddItemToObject(Uha, "VAR_CONS_OTHER_WH", cJSON_CreateNumber(mVars[VAR_CONS_OTHER_WH]));</v>
      </c>
      <c r="P70" t="str">
        <f t="shared" si="7"/>
        <v>cJSON_AddItemToObject(Uha, "VAR_CONS_OTHER_WH", cJSON_CreateNumber(mVars[66]));</v>
      </c>
    </row>
    <row r="71" spans="2:16">
      <c r="B71" s="40"/>
      <c r="C71" s="1">
        <v>67</v>
      </c>
      <c r="D71" s="1" t="str">
        <f t="shared" si="9"/>
        <v>0043</v>
      </c>
      <c r="E71" t="s">
        <v>265</v>
      </c>
      <c r="H71" t="str">
        <f t="shared" si="10"/>
        <v>#define  VAR_CONS_TECHM_WH  67</v>
      </c>
      <c r="I71" t="str">
        <f t="shared" si="11"/>
        <v>public const byte VAR_CONS_TECHM_WH = 67;</v>
      </c>
      <c r="L71" t="str">
        <f t="shared" si="4"/>
        <v>UpdateScanList(VAR_CONS_TECHM_WH, 5000);</v>
      </c>
      <c r="N71" t="str">
        <f t="shared" si="8"/>
        <v>COM_AddStreamedVariable(VAR_CONS_TECHM_WH, 1000);</v>
      </c>
      <c r="O71" t="str">
        <f t="shared" si="3"/>
        <v>cJSON_AddItemToObject(Uha, "VAR_CONS_TECHM_WH", cJSON_CreateNumber(mVars[VAR_CONS_TECHM_WH]));</v>
      </c>
      <c r="P71" t="str">
        <f t="shared" si="7"/>
        <v>cJSON_AddItemToObject(Uha, "VAR_CONS_TECHM_WH", cJSON_CreateNumber(mVars[67]));</v>
      </c>
    </row>
    <row r="72" spans="2:16">
      <c r="B72" s="40"/>
      <c r="C72" s="1">
        <v>68</v>
      </c>
      <c r="D72" s="1" t="str">
        <f t="shared" si="9"/>
        <v>0044</v>
      </c>
      <c r="E72" t="s">
        <v>279</v>
      </c>
      <c r="H72" t="str">
        <f t="shared" si="10"/>
        <v>#define  VAR_CONS_KITCHEN_A_WH  68</v>
      </c>
      <c r="I72" t="str">
        <f t="shared" si="11"/>
        <v>public const byte VAR_CONS_KITCHEN_A_WH = 68;</v>
      </c>
      <c r="L72" t="str">
        <f t="shared" si="4"/>
        <v>UpdateScanList(VAR_CONS_KITCHEN_A_WH, 5000);</v>
      </c>
      <c r="O72" t="str">
        <f t="shared" si="3"/>
        <v>cJSON_AddItemToObject(Uha, "VAR_CONS_KITCHEN_A_WH", cJSON_CreateNumber(mVars[VAR_CONS_KITCHEN_A_WH]));</v>
      </c>
    </row>
    <row r="73" spans="2:16">
      <c r="B73" s="40"/>
      <c r="C73" s="1">
        <v>69</v>
      </c>
      <c r="D73" s="1" t="str">
        <f t="shared" si="9"/>
        <v>0045</v>
      </c>
      <c r="E73" t="s">
        <v>280</v>
      </c>
      <c r="H73" t="str">
        <f t="shared" si="10"/>
        <v>#define  VAR_CONS_KITCHEN_B_WH  69</v>
      </c>
      <c r="I73" t="str">
        <f t="shared" si="11"/>
        <v>public const byte VAR_CONS_KITCHEN_B_WH = 69;</v>
      </c>
      <c r="L73" t="str">
        <f t="shared" si="4"/>
        <v>UpdateScanList(VAR_CONS_KITCHEN_B_WH, 5000);</v>
      </c>
      <c r="O73" t="str">
        <f t="shared" si="3"/>
        <v>cJSON_AddItemToObject(Uha, "VAR_CONS_KITCHEN_B_WH", cJSON_CreateNumber(mVars[VAR_CONS_KITCHEN_B_WH]));</v>
      </c>
    </row>
    <row r="74" spans="2:16">
      <c r="B74" s="40"/>
      <c r="C74" s="1">
        <v>70</v>
      </c>
      <c r="D74" s="1" t="str">
        <f t="shared" si="9"/>
        <v>0046</v>
      </c>
      <c r="E74" t="s">
        <v>266</v>
      </c>
      <c r="H74" t="str">
        <f t="shared" si="10"/>
        <v>#define  VAR_POW_AC300_W  70</v>
      </c>
      <c r="I74" t="str">
        <f t="shared" si="11"/>
        <v>public const byte VAR_POW_AC300_W = 70;</v>
      </c>
      <c r="L74" t="str">
        <f t="shared" si="4"/>
        <v>UpdateScanList(VAR_POW_AC300_W, 5000);</v>
      </c>
      <c r="N74" t="str">
        <f t="shared" si="8"/>
        <v>COM_AddStreamedVariable(VAR_POW_AC300_W, 1000);</v>
      </c>
      <c r="O74" t="str">
        <f t="shared" si="3"/>
        <v>cJSON_AddItemToObject(Uha, "VAR_POW_AC300_W", cJSON_CreateNumber(mVars[VAR_POW_AC300_W]));</v>
      </c>
      <c r="P74" t="str">
        <f t="shared" si="7"/>
        <v>cJSON_AddItemToObject(Uha, "VAR_POW_AC300_W", cJSON_CreateNumber(mVars[70]));</v>
      </c>
    </row>
    <row r="75" spans="2:16">
      <c r="B75" s="40"/>
      <c r="C75" s="1">
        <v>71</v>
      </c>
      <c r="D75" s="1" t="str">
        <f t="shared" si="9"/>
        <v>0047</v>
      </c>
      <c r="E75" t="s">
        <v>267</v>
      </c>
      <c r="H75" t="str">
        <f t="shared" si="10"/>
        <v>#define  VAR_POW_AC3KW_W  71</v>
      </c>
      <c r="I75" t="str">
        <f t="shared" si="11"/>
        <v>public const byte VAR_POW_AC3KW_W = 71;</v>
      </c>
      <c r="L75" t="str">
        <f t="shared" si="4"/>
        <v>UpdateScanList(VAR_POW_AC3KW_W, 5000);</v>
      </c>
      <c r="N75" t="str">
        <f t="shared" si="8"/>
        <v>COM_AddStreamedVariable(VAR_POW_AC3KW_W, 1000);</v>
      </c>
      <c r="O75" t="str">
        <f t="shared" si="3"/>
        <v>cJSON_AddItemToObject(Uha, "VAR_POW_AC3KW_W", cJSON_CreateNumber(mVars[VAR_POW_AC3KW_W]));</v>
      </c>
      <c r="P75" t="str">
        <f t="shared" si="7"/>
        <v>cJSON_AddItemToObject(Uha, "VAR_POW_AC3KW_W", cJSON_CreateNumber(mVars[71]));</v>
      </c>
    </row>
    <row r="76" spans="2:16">
      <c r="B76" s="40"/>
      <c r="C76" s="1">
        <v>72</v>
      </c>
      <c r="D76" s="1" t="str">
        <f t="shared" si="9"/>
        <v>0048</v>
      </c>
      <c r="E76" t="s">
        <v>268</v>
      </c>
      <c r="H76" t="str">
        <f t="shared" si="10"/>
        <v>#define  VAR_POW_AC5KW_W  72</v>
      </c>
      <c r="I76" t="str">
        <f t="shared" si="11"/>
        <v>public const byte VAR_POW_AC5KW_W = 72;</v>
      </c>
      <c r="L76" t="str">
        <f t="shared" si="4"/>
        <v>UpdateScanList(VAR_POW_AC5KW_W, 5000);</v>
      </c>
      <c r="N76" t="str">
        <f t="shared" si="8"/>
        <v>COM_AddStreamedVariable(VAR_POW_AC5KW_W, 1000);</v>
      </c>
      <c r="O76" t="str">
        <f t="shared" si="3"/>
        <v>cJSON_AddItemToObject(Uha, "VAR_POW_AC5KW_W", cJSON_CreateNumber(mVars[VAR_POW_AC5KW_W]));</v>
      </c>
      <c r="P76" t="str">
        <f t="shared" si="7"/>
        <v>cJSON_AddItemToObject(Uha, "VAR_POW_AC5KW_W", cJSON_CreateNumber(mVars[72]));</v>
      </c>
    </row>
    <row r="77" spans="2:16">
      <c r="B77" s="40"/>
      <c r="C77" s="1">
        <v>73</v>
      </c>
      <c r="D77" s="1" t="str">
        <f t="shared" si="9"/>
        <v>0049</v>
      </c>
      <c r="E77" t="s">
        <v>269</v>
      </c>
      <c r="H77" t="str">
        <f t="shared" si="10"/>
        <v>#define  VAR_POW_FRIDGE_W  73</v>
      </c>
      <c r="I77" t="str">
        <f t="shared" si="11"/>
        <v>public const byte VAR_POW_FRIDGE_W = 73;</v>
      </c>
      <c r="L77" t="str">
        <f t="shared" si="4"/>
        <v>UpdateScanList(VAR_POW_FRIDGE_W, 5000);</v>
      </c>
      <c r="N77" t="str">
        <f t="shared" si="8"/>
        <v>COM_AddStreamedVariable(VAR_POW_FRIDGE_W, 1000);</v>
      </c>
      <c r="O77" t="str">
        <f t="shared" ref="O77:O140" si="12">IF(ISBLANK(E77),"",CONCATENATE("cJSON_AddItemToObject(Uha, ","""",E77,"""",", cJSON_CreateNumber(mVars[",E77,"]));"))</f>
        <v>cJSON_AddItemToObject(Uha, "VAR_POW_FRIDGE_W", cJSON_CreateNumber(mVars[VAR_POW_FRIDGE_W]));</v>
      </c>
      <c r="P77" t="str">
        <f t="shared" si="7"/>
        <v>cJSON_AddItemToObject(Uha, "VAR_POW_FRIDGE_W", cJSON_CreateNumber(mVars[73]));</v>
      </c>
    </row>
    <row r="78" spans="2:16">
      <c r="B78" s="40"/>
      <c r="C78" s="1">
        <v>74</v>
      </c>
      <c r="D78" s="1" t="str">
        <f t="shared" si="9"/>
        <v>004A</v>
      </c>
      <c r="E78" t="s">
        <v>270</v>
      </c>
      <c r="H78" t="str">
        <f t="shared" si="10"/>
        <v>#define  VAR_POW_KITCHEN_W  74</v>
      </c>
      <c r="I78" t="str">
        <f t="shared" si="11"/>
        <v>public const byte VAR_POW_KITCHEN_W = 74;</v>
      </c>
      <c r="L78" t="str">
        <f t="shared" si="4"/>
        <v>UpdateScanList(VAR_POW_KITCHEN_W, 5000);</v>
      </c>
      <c r="N78" t="str">
        <f t="shared" si="8"/>
        <v>COM_AddStreamedVariable(VAR_POW_KITCHEN_W, 1000);</v>
      </c>
      <c r="O78" t="str">
        <f t="shared" si="12"/>
        <v>cJSON_AddItemToObject(Uha, "VAR_POW_KITCHEN_W", cJSON_CreateNumber(mVars[VAR_POW_KITCHEN_W]));</v>
      </c>
      <c r="P78" t="str">
        <f t="shared" si="7"/>
        <v>cJSON_AddItemToObject(Uha, "VAR_POW_KITCHEN_W", cJSON_CreateNumber(mVars[74]));</v>
      </c>
    </row>
    <row r="79" spans="2:16">
      <c r="B79" s="40"/>
      <c r="C79" s="1">
        <v>75</v>
      </c>
      <c r="D79" s="1" t="str">
        <f t="shared" si="9"/>
        <v>004B</v>
      </c>
      <c r="E79" t="s">
        <v>271</v>
      </c>
      <c r="H79" t="str">
        <f t="shared" si="10"/>
        <v>#define  VAR_POW_WASCHMACHINE_W  75</v>
      </c>
      <c r="I79" t="str">
        <f t="shared" si="11"/>
        <v>public const byte VAR_POW_WASCHMACHINE_W = 75;</v>
      </c>
      <c r="L79" t="str">
        <f t="shared" ref="L79:L142" si="13">CONCATENATE("UpdateScanList(",E79, ", 5000);")</f>
        <v>UpdateScanList(VAR_POW_WASCHMACHINE_W, 5000);</v>
      </c>
      <c r="N79" t="str">
        <f t="shared" si="8"/>
        <v>COM_AddStreamedVariable(VAR_POW_WASCHMACHINE_W, 1000);</v>
      </c>
      <c r="O79" t="str">
        <f t="shared" si="12"/>
        <v>cJSON_AddItemToObject(Uha, "VAR_POW_WASCHMACHINE_W", cJSON_CreateNumber(mVars[VAR_POW_WASCHMACHINE_W]));</v>
      </c>
      <c r="P79" t="str">
        <f t="shared" si="7"/>
        <v>cJSON_AddItemToObject(Uha, "VAR_POW_WASCHMACHINE_W", cJSON_CreateNumber(mVars[75]));</v>
      </c>
    </row>
    <row r="80" spans="2:16">
      <c r="B80" s="40"/>
      <c r="C80" s="1">
        <v>76</v>
      </c>
      <c r="D80" s="1" t="str">
        <f t="shared" si="9"/>
        <v>004C</v>
      </c>
      <c r="E80" t="s">
        <v>272</v>
      </c>
      <c r="H80" t="str">
        <f t="shared" si="10"/>
        <v>#define  VAR_POW_OTHER_W  76</v>
      </c>
      <c r="I80" t="str">
        <f t="shared" si="11"/>
        <v>public const byte VAR_POW_OTHER_W = 76;</v>
      </c>
      <c r="L80" t="str">
        <f t="shared" si="13"/>
        <v>UpdateScanList(VAR_POW_OTHER_W, 5000);</v>
      </c>
      <c r="N80" t="str">
        <f t="shared" si="8"/>
        <v>COM_AddStreamedVariable(VAR_POW_OTHER_W, 1000);</v>
      </c>
      <c r="O80" t="str">
        <f t="shared" si="12"/>
        <v>cJSON_AddItemToObject(Uha, "VAR_POW_OTHER_W", cJSON_CreateNumber(mVars[VAR_POW_OTHER_W]));</v>
      </c>
      <c r="P80" t="str">
        <f t="shared" si="7"/>
        <v>cJSON_AddItemToObject(Uha, "VAR_POW_OTHER_W", cJSON_CreateNumber(mVars[76]));</v>
      </c>
    </row>
    <row r="81" spans="2:16">
      <c r="B81" s="40"/>
      <c r="C81" s="1">
        <v>77</v>
      </c>
      <c r="D81" s="1" t="str">
        <f t="shared" si="9"/>
        <v>004D</v>
      </c>
      <c r="E81" t="s">
        <v>273</v>
      </c>
      <c r="H81" t="str">
        <f t="shared" si="10"/>
        <v>#define  VAR_POW_TECHM_W  77</v>
      </c>
      <c r="I81" t="str">
        <f t="shared" si="11"/>
        <v>public const byte VAR_POW_TECHM_W = 77;</v>
      </c>
      <c r="L81" t="str">
        <f t="shared" si="13"/>
        <v>UpdateScanList(VAR_POW_TECHM_W, 5000);</v>
      </c>
      <c r="N81" t="str">
        <f t="shared" si="8"/>
        <v>COM_AddStreamedVariable(VAR_POW_TECHM_W, 1000);</v>
      </c>
      <c r="O81" t="str">
        <f t="shared" si="12"/>
        <v>cJSON_AddItemToObject(Uha, "VAR_POW_TECHM_W", cJSON_CreateNumber(mVars[VAR_POW_TECHM_W]));</v>
      </c>
      <c r="P81" t="str">
        <f t="shared" si="7"/>
        <v>cJSON_AddItemToObject(Uha, "VAR_POW_TECHM_W", cJSON_CreateNumber(mVars[77]));</v>
      </c>
    </row>
    <row r="82" spans="2:16">
      <c r="B82" s="40"/>
      <c r="C82" s="1">
        <v>78</v>
      </c>
      <c r="D82" s="1" t="str">
        <f t="shared" si="9"/>
        <v>004E</v>
      </c>
      <c r="E82" t="s">
        <v>281</v>
      </c>
      <c r="H82" t="str">
        <f t="shared" si="10"/>
        <v>#define  VAR_POW_KITCHEN_A_W  78</v>
      </c>
      <c r="I82" t="str">
        <f t="shared" si="11"/>
        <v>public const byte VAR_POW_KITCHEN_A_W = 78;</v>
      </c>
      <c r="L82" t="str">
        <f t="shared" si="13"/>
        <v>UpdateScanList(VAR_POW_KITCHEN_A_W, 5000);</v>
      </c>
      <c r="N82" t="str">
        <f t="shared" si="8"/>
        <v>COM_AddStreamedVariable(VAR_POW_KITCHEN_A_W, 1000);</v>
      </c>
      <c r="O82" t="str">
        <f t="shared" si="12"/>
        <v>cJSON_AddItemToObject(Uha, "VAR_POW_KITCHEN_A_W", cJSON_CreateNumber(mVars[VAR_POW_KITCHEN_A_W]));</v>
      </c>
    </row>
    <row r="83" spans="2:16">
      <c r="B83" s="40"/>
      <c r="C83" s="1">
        <v>79</v>
      </c>
      <c r="D83" s="1" t="str">
        <f t="shared" si="9"/>
        <v>004F</v>
      </c>
      <c r="E83" t="s">
        <v>282</v>
      </c>
      <c r="H83" t="str">
        <f t="shared" si="10"/>
        <v>#define  VAR_POW_KITCHEN_B_W  79</v>
      </c>
      <c r="I83" t="str">
        <f t="shared" si="11"/>
        <v>public const byte VAR_POW_KITCHEN_B_W = 79;</v>
      </c>
      <c r="L83" t="str">
        <f t="shared" si="13"/>
        <v>UpdateScanList(VAR_POW_KITCHEN_B_W, 5000);</v>
      </c>
      <c r="N83" t="str">
        <f t="shared" si="8"/>
        <v>COM_AddStreamedVariable(VAR_POW_KITCHEN_B_W, 1000);</v>
      </c>
      <c r="O83" t="str">
        <f t="shared" si="12"/>
        <v>cJSON_AddItemToObject(Uha, "VAR_POW_KITCHEN_B_W", cJSON_CreateNumber(mVars[VAR_POW_KITCHEN_B_W]));</v>
      </c>
    </row>
    <row r="84" spans="2:16">
      <c r="B84" s="40"/>
      <c r="C84" s="1">
        <v>80</v>
      </c>
      <c r="D84" s="1" t="str">
        <f t="shared" si="9"/>
        <v>0050</v>
      </c>
      <c r="E84" t="s">
        <v>140</v>
      </c>
      <c r="H84" t="str">
        <f t="shared" si="10"/>
        <v>#define  VAR_EL_HEATER_STATUS  80</v>
      </c>
      <c r="I84" t="str">
        <f t="shared" si="11"/>
        <v>public const byte VAR_EL_HEATER_STATUS = 80;</v>
      </c>
      <c r="L84" t="str">
        <f t="shared" si="13"/>
        <v>UpdateScanList(VAR_EL_HEATER_STATUS, 5000);</v>
      </c>
      <c r="N84" t="str">
        <f t="shared" si="8"/>
        <v>COM_AddStreamedVariable(VAR_EL_HEATER_STATUS, 1000);</v>
      </c>
      <c r="O84" t="str">
        <f t="shared" si="12"/>
        <v>cJSON_AddItemToObject(Uha, "VAR_EL_HEATER_STATUS", cJSON_CreateNumber(mVars[VAR_EL_HEATER_STATUS]));</v>
      </c>
      <c r="P84" t="str">
        <f t="shared" ref="P84:P132" si="14">CONCATENATE("cJSON_AddItemToObject(Uha, ","""",E84,"""",", cJSON_CreateNumber(mVars[",C84,"]));")</f>
        <v>cJSON_AddItemToObject(Uha, "VAR_EL_HEATER_STATUS", cJSON_CreateNumber(mVars[80]));</v>
      </c>
    </row>
    <row r="85" spans="2:16">
      <c r="B85" s="40"/>
      <c r="C85" s="1">
        <v>81</v>
      </c>
      <c r="D85" s="1" t="str">
        <f t="shared" si="9"/>
        <v>0051</v>
      </c>
      <c r="E85" t="s">
        <v>141</v>
      </c>
      <c r="H85" t="str">
        <f t="shared" si="10"/>
        <v>#define  VAR_EL_HEATER_POWER  81</v>
      </c>
      <c r="I85" t="str">
        <f t="shared" si="11"/>
        <v>public const byte VAR_EL_HEATER_POWER = 81;</v>
      </c>
      <c r="L85" t="str">
        <f t="shared" si="13"/>
        <v>UpdateScanList(VAR_EL_HEATER_POWER, 5000);</v>
      </c>
      <c r="N85" t="str">
        <f t="shared" si="8"/>
        <v>COM_AddStreamedVariable(VAR_EL_HEATER_POWER, 1000);</v>
      </c>
      <c r="O85" t="str">
        <f t="shared" si="12"/>
        <v>cJSON_AddItemToObject(Uha, "VAR_EL_HEATER_POWER", cJSON_CreateNumber(mVars[VAR_EL_HEATER_POWER]));</v>
      </c>
      <c r="P85" t="str">
        <f t="shared" si="14"/>
        <v>cJSON_AddItemToObject(Uha, "VAR_EL_HEATER_POWER", cJSON_CreateNumber(mVars[81]));</v>
      </c>
    </row>
    <row r="86" spans="2:16">
      <c r="B86" s="40"/>
      <c r="C86" s="1">
        <v>82</v>
      </c>
      <c r="D86" s="1" t="str">
        <f t="shared" si="9"/>
        <v>0052</v>
      </c>
      <c r="E86" t="s">
        <v>157</v>
      </c>
      <c r="H86" t="str">
        <f t="shared" si="10"/>
        <v>#define  VAR_EL_HEATER_CURRENT  82</v>
      </c>
      <c r="I86" t="str">
        <f t="shared" si="11"/>
        <v>public const byte VAR_EL_HEATER_CURRENT = 82;</v>
      </c>
      <c r="L86" t="str">
        <f t="shared" si="13"/>
        <v>UpdateScanList(VAR_EL_HEATER_CURRENT, 5000);</v>
      </c>
      <c r="N86" t="str">
        <f t="shared" si="8"/>
        <v>COM_AddStreamedVariable(VAR_EL_HEATER_CURRENT, 1000);</v>
      </c>
      <c r="O86" t="str">
        <f t="shared" si="12"/>
        <v>cJSON_AddItemToObject(Uha, "VAR_EL_HEATER_CURRENT", cJSON_CreateNumber(mVars[VAR_EL_HEATER_CURRENT]));</v>
      </c>
      <c r="P86" t="str">
        <f t="shared" si="14"/>
        <v>cJSON_AddItemToObject(Uha, "VAR_EL_HEATER_CURRENT", cJSON_CreateNumber(mVars[82]));</v>
      </c>
    </row>
    <row r="87" spans="2:16">
      <c r="B87" s="40"/>
      <c r="C87" s="1">
        <v>83</v>
      </c>
      <c r="D87" s="1" t="str">
        <f t="shared" si="9"/>
        <v>0053</v>
      </c>
      <c r="E87" t="s">
        <v>158</v>
      </c>
      <c r="H87" t="str">
        <f t="shared" si="10"/>
        <v>#define  VAR_EL_HEATER_CONS  83</v>
      </c>
      <c r="I87" t="str">
        <f t="shared" si="11"/>
        <v>public const byte VAR_EL_HEATER_CONS = 83;</v>
      </c>
      <c r="L87" t="str">
        <f t="shared" si="13"/>
        <v>UpdateScanList(VAR_EL_HEATER_CONS, 5000);</v>
      </c>
      <c r="N87" t="str">
        <f t="shared" si="8"/>
        <v>COM_AddStreamedVariable(VAR_EL_HEATER_CONS, 1000);</v>
      </c>
      <c r="O87" t="str">
        <f t="shared" si="12"/>
        <v>cJSON_AddItemToObject(Uha, "VAR_EL_HEATER_CONS", cJSON_CreateNumber(mVars[VAR_EL_HEATER_CONS]));</v>
      </c>
      <c r="P87" t="str">
        <f t="shared" si="14"/>
        <v>cJSON_AddItemToObject(Uha, "VAR_EL_HEATER_CONS", cJSON_CreateNumber(mVars[83]));</v>
      </c>
    </row>
    <row r="88" spans="2:16">
      <c r="B88" s="40"/>
      <c r="C88" s="1">
        <v>84</v>
      </c>
      <c r="D88" s="1" t="str">
        <f t="shared" si="9"/>
        <v>0054</v>
      </c>
      <c r="H88" t="str">
        <f t="shared" si="10"/>
        <v>#define    84</v>
      </c>
      <c r="I88" t="str">
        <f t="shared" si="11"/>
        <v>public const byte  = 84;</v>
      </c>
      <c r="L88" t="str">
        <f t="shared" si="13"/>
        <v>UpdateScanList(, 5000);</v>
      </c>
      <c r="N88" t="str">
        <f t="shared" si="8"/>
        <v>COM_AddStreamedVariable(, 1000);</v>
      </c>
      <c r="O88" t="str">
        <f t="shared" si="12"/>
        <v/>
      </c>
    </row>
    <row r="89" spans="2:16">
      <c r="B89" s="40"/>
      <c r="C89" s="1">
        <v>85</v>
      </c>
      <c r="D89" s="1" t="str">
        <f t="shared" si="9"/>
        <v>0055</v>
      </c>
      <c r="E89" t="s">
        <v>275</v>
      </c>
      <c r="H89" t="str">
        <f t="shared" si="10"/>
        <v>#define  VAR_HEAT_TOTAL_WH  85</v>
      </c>
      <c r="I89" t="str">
        <f t="shared" si="11"/>
        <v>public const byte VAR_HEAT_TOTAL_WH = 85;</v>
      </c>
      <c r="L89" t="str">
        <f t="shared" si="13"/>
        <v>UpdateScanList(VAR_HEAT_TOTAL_WH, 5000);</v>
      </c>
      <c r="N89" t="str">
        <f t="shared" si="8"/>
        <v>COM_AddStreamedVariable(VAR_HEAT_TOTAL_WH, 1000);</v>
      </c>
      <c r="O89" t="str">
        <f t="shared" si="12"/>
        <v>cJSON_AddItemToObject(Uha, "VAR_HEAT_TOTAL_WH", cJSON_CreateNumber(mVars[VAR_HEAT_TOTAL_WH]));</v>
      </c>
      <c r="P89" t="str">
        <f t="shared" si="14"/>
        <v>cJSON_AddItemToObject(Uha, "VAR_HEAT_TOTAL_WH", cJSON_CreateNumber(mVars[85]));</v>
      </c>
    </row>
    <row r="90" spans="2:16">
      <c r="B90" s="40"/>
      <c r="C90" s="1">
        <v>86</v>
      </c>
      <c r="D90" s="1" t="str">
        <f t="shared" si="9"/>
        <v>0056</v>
      </c>
      <c r="E90" t="s">
        <v>276</v>
      </c>
      <c r="H90" t="str">
        <f t="shared" si="10"/>
        <v>#define  VAR_HEAT_HEATING_WH  86</v>
      </c>
      <c r="I90" t="str">
        <f t="shared" si="11"/>
        <v>public const byte VAR_HEAT_HEATING_WH = 86;</v>
      </c>
      <c r="L90" t="str">
        <f t="shared" si="13"/>
        <v>UpdateScanList(VAR_HEAT_HEATING_WH, 5000);</v>
      </c>
      <c r="N90" t="str">
        <f t="shared" si="8"/>
        <v>COM_AddStreamedVariable(VAR_HEAT_HEATING_WH, 1000);</v>
      </c>
      <c r="O90" t="str">
        <f t="shared" si="12"/>
        <v>cJSON_AddItemToObject(Uha, "VAR_HEAT_HEATING_WH", cJSON_CreateNumber(mVars[VAR_HEAT_HEATING_WH]));</v>
      </c>
      <c r="P90" t="str">
        <f t="shared" si="14"/>
        <v>cJSON_AddItemToObject(Uha, "VAR_HEAT_HEATING_WH", cJSON_CreateNumber(mVars[86]));</v>
      </c>
    </row>
    <row r="91" spans="2:16">
      <c r="B91" s="40"/>
      <c r="C91" s="1">
        <v>87</v>
      </c>
      <c r="D91" s="1" t="str">
        <f t="shared" si="9"/>
        <v>0057</v>
      </c>
      <c r="H91" t="str">
        <f t="shared" si="10"/>
        <v>#define    87</v>
      </c>
      <c r="I91" t="str">
        <f t="shared" si="11"/>
        <v>public const byte  = 87;</v>
      </c>
      <c r="L91" t="str">
        <f t="shared" si="13"/>
        <v>UpdateScanList(, 5000);</v>
      </c>
      <c r="N91" t="str">
        <f t="shared" si="8"/>
        <v>COM_AddStreamedVariable(, 1000);</v>
      </c>
      <c r="O91" t="str">
        <f t="shared" si="12"/>
        <v/>
      </c>
    </row>
    <row r="92" spans="2:16">
      <c r="B92" s="40"/>
      <c r="C92" s="1">
        <v>88</v>
      </c>
      <c r="D92" s="1" t="str">
        <f t="shared" si="9"/>
        <v>0058</v>
      </c>
      <c r="H92" t="str">
        <f t="shared" si="10"/>
        <v>#define    88</v>
      </c>
      <c r="I92" t="str">
        <f t="shared" si="11"/>
        <v>public const byte  = 88;</v>
      </c>
      <c r="L92" t="str">
        <f t="shared" si="13"/>
        <v>UpdateScanList(, 5000);</v>
      </c>
      <c r="N92" t="str">
        <f t="shared" si="8"/>
        <v>COM_AddStreamedVariable(, 1000);</v>
      </c>
      <c r="O92" t="str">
        <f t="shared" si="12"/>
        <v/>
      </c>
    </row>
    <row r="93" spans="2:16">
      <c r="B93" s="40"/>
      <c r="C93" s="1">
        <v>89</v>
      </c>
      <c r="D93" s="1" t="str">
        <f t="shared" si="9"/>
        <v>0059</v>
      </c>
      <c r="H93" t="str">
        <f t="shared" si="10"/>
        <v>#define    89</v>
      </c>
      <c r="I93" t="str">
        <f t="shared" si="11"/>
        <v>public const byte  = 89;</v>
      </c>
      <c r="L93" t="str">
        <f t="shared" si="13"/>
        <v>UpdateScanList(, 5000);</v>
      </c>
      <c r="N93" t="str">
        <f t="shared" si="8"/>
        <v>COM_AddStreamedVariable(, 1000);</v>
      </c>
      <c r="O93" t="str">
        <f t="shared" si="12"/>
        <v/>
      </c>
    </row>
    <row r="94" spans="2:16">
      <c r="B94" s="40"/>
      <c r="C94" s="1">
        <v>90</v>
      </c>
      <c r="D94" s="1" t="str">
        <f t="shared" si="9"/>
        <v>005A</v>
      </c>
      <c r="E94" t="s">
        <v>153</v>
      </c>
      <c r="H94" t="str">
        <f t="shared" si="10"/>
        <v>#define  VAR_FLOW_COLD  90</v>
      </c>
      <c r="I94" t="str">
        <f t="shared" si="11"/>
        <v>public const byte VAR_FLOW_COLD = 90;</v>
      </c>
      <c r="L94" t="str">
        <f t="shared" si="13"/>
        <v>UpdateScanList(VAR_FLOW_COLD, 5000);</v>
      </c>
      <c r="N94" t="str">
        <f t="shared" si="8"/>
        <v>COM_AddStreamedVariable(VAR_FLOW_COLD, 1000);</v>
      </c>
      <c r="O94" t="str">
        <f t="shared" si="12"/>
        <v>cJSON_AddItemToObject(Uha, "VAR_FLOW_COLD", cJSON_CreateNumber(mVars[VAR_FLOW_COLD]));</v>
      </c>
      <c r="P94" t="str">
        <f t="shared" si="14"/>
        <v>cJSON_AddItemToObject(Uha, "VAR_FLOW_COLD", cJSON_CreateNumber(mVars[90]));</v>
      </c>
    </row>
    <row r="95" spans="2:16">
      <c r="B95" s="40"/>
      <c r="C95" s="1">
        <v>91</v>
      </c>
      <c r="D95" s="1" t="str">
        <f t="shared" si="9"/>
        <v>005B</v>
      </c>
      <c r="E95" t="s">
        <v>154</v>
      </c>
      <c r="H95" t="str">
        <f t="shared" si="10"/>
        <v>#define  VAR_FLOW_HOT  91</v>
      </c>
      <c r="I95" t="str">
        <f t="shared" si="11"/>
        <v>public const byte VAR_FLOW_HOT = 91;</v>
      </c>
      <c r="L95" t="str">
        <f t="shared" si="13"/>
        <v>UpdateScanList(VAR_FLOW_HOT, 5000);</v>
      </c>
      <c r="N95" t="str">
        <f t="shared" si="8"/>
        <v>COM_AddStreamedVariable(VAR_FLOW_HOT, 1000);</v>
      </c>
      <c r="O95" t="str">
        <f t="shared" si="12"/>
        <v>cJSON_AddItemToObject(Uha, "VAR_FLOW_HOT", cJSON_CreateNumber(mVars[VAR_FLOW_HOT]));</v>
      </c>
      <c r="P95" t="str">
        <f t="shared" si="14"/>
        <v>cJSON_AddItemToObject(Uha, "VAR_FLOW_HOT", cJSON_CreateNumber(mVars[91]));</v>
      </c>
    </row>
    <row r="96" spans="2:16">
      <c r="B96" s="40"/>
      <c r="C96" s="1">
        <v>92</v>
      </c>
      <c r="D96" s="1" t="str">
        <f t="shared" si="9"/>
        <v>005C</v>
      </c>
      <c r="E96" t="s">
        <v>156</v>
      </c>
      <c r="H96" t="str">
        <f t="shared" si="10"/>
        <v>#define  VAR_CONS_COLD  92</v>
      </c>
      <c r="I96" t="str">
        <f t="shared" si="11"/>
        <v>public const byte VAR_CONS_COLD = 92;</v>
      </c>
      <c r="L96" t="str">
        <f t="shared" si="13"/>
        <v>UpdateScanList(VAR_CONS_COLD, 5000);</v>
      </c>
      <c r="N96" t="str">
        <f t="shared" si="8"/>
        <v>COM_AddStreamedVariable(VAR_CONS_COLD, 1000);</v>
      </c>
      <c r="O96" t="str">
        <f t="shared" si="12"/>
        <v>cJSON_AddItemToObject(Uha, "VAR_CONS_COLD", cJSON_CreateNumber(mVars[VAR_CONS_COLD]));</v>
      </c>
      <c r="P96" t="str">
        <f t="shared" si="14"/>
        <v>cJSON_AddItemToObject(Uha, "VAR_CONS_COLD", cJSON_CreateNumber(mVars[92]));</v>
      </c>
    </row>
    <row r="97" spans="2:16">
      <c r="B97" s="40"/>
      <c r="C97" s="1">
        <v>93</v>
      </c>
      <c r="D97" s="1" t="str">
        <f t="shared" si="9"/>
        <v>005D</v>
      </c>
      <c r="E97" t="s">
        <v>155</v>
      </c>
      <c r="H97" t="str">
        <f t="shared" si="10"/>
        <v>#define  VAR_CONS_HOT  93</v>
      </c>
      <c r="I97" t="str">
        <f t="shared" si="11"/>
        <v>public const byte VAR_CONS_HOT = 93;</v>
      </c>
      <c r="L97" t="str">
        <f t="shared" si="13"/>
        <v>UpdateScanList(VAR_CONS_HOT, 5000);</v>
      </c>
      <c r="N97" t="str">
        <f t="shared" si="8"/>
        <v>COM_AddStreamedVariable(VAR_CONS_HOT, 1000);</v>
      </c>
      <c r="O97" t="str">
        <f t="shared" si="12"/>
        <v>cJSON_AddItemToObject(Uha, "VAR_CONS_HOT", cJSON_CreateNumber(mVars[VAR_CONS_HOT]));</v>
      </c>
      <c r="P97" t="str">
        <f t="shared" si="14"/>
        <v>cJSON_AddItemToObject(Uha, "VAR_CONS_HOT", cJSON_CreateNumber(mVars[93]));</v>
      </c>
    </row>
    <row r="98" spans="2:16">
      <c r="B98" s="40"/>
      <c r="C98" s="1">
        <v>94</v>
      </c>
      <c r="D98" s="1" t="str">
        <f t="shared" si="9"/>
        <v>005E</v>
      </c>
      <c r="H98" t="str">
        <f t="shared" si="10"/>
        <v>#define    94</v>
      </c>
      <c r="I98" t="str">
        <f t="shared" si="11"/>
        <v>public const byte  = 94;</v>
      </c>
      <c r="L98" t="str">
        <f t="shared" si="13"/>
        <v>UpdateScanList(, 5000);</v>
      </c>
      <c r="N98" t="str">
        <f t="shared" si="8"/>
        <v>COM_AddStreamedVariable(, 1000);</v>
      </c>
      <c r="O98" t="str">
        <f t="shared" si="12"/>
        <v/>
      </c>
    </row>
    <row r="99" spans="2:16">
      <c r="B99" s="40"/>
      <c r="C99" s="1">
        <v>95</v>
      </c>
      <c r="D99" s="1" t="str">
        <f t="shared" si="9"/>
        <v>005F</v>
      </c>
      <c r="H99" t="str">
        <f t="shared" si="10"/>
        <v>#define    95</v>
      </c>
      <c r="I99" t="str">
        <f t="shared" si="11"/>
        <v>public const byte  = 95;</v>
      </c>
      <c r="L99" t="str">
        <f t="shared" si="13"/>
        <v>UpdateScanList(, 5000);</v>
      </c>
      <c r="N99" t="str">
        <f t="shared" si="8"/>
        <v>COM_AddStreamedVariable(, 1000);</v>
      </c>
      <c r="O99" t="str">
        <f t="shared" si="12"/>
        <v/>
      </c>
    </row>
    <row r="100" spans="2:16">
      <c r="B100" s="40"/>
      <c r="C100" s="1">
        <v>96</v>
      </c>
      <c r="D100" s="1" t="str">
        <f t="shared" si="9"/>
        <v>0060</v>
      </c>
      <c r="H100" t="str">
        <f t="shared" si="10"/>
        <v>#define    96</v>
      </c>
      <c r="I100" t="str">
        <f t="shared" si="11"/>
        <v>public const byte  = 96;</v>
      </c>
      <c r="L100" t="str">
        <f t="shared" si="13"/>
        <v>UpdateScanList(, 5000);</v>
      </c>
      <c r="N100" t="str">
        <f t="shared" si="8"/>
        <v>COM_AddStreamedVariable(, 1000);</v>
      </c>
      <c r="O100" t="str">
        <f t="shared" si="12"/>
        <v/>
      </c>
    </row>
    <row r="101" spans="2:16">
      <c r="B101" s="40"/>
      <c r="C101" s="1">
        <v>97</v>
      </c>
      <c r="D101" s="1" t="str">
        <f t="shared" si="9"/>
        <v>0061</v>
      </c>
      <c r="H101" t="str">
        <f t="shared" si="10"/>
        <v>#define    97</v>
      </c>
      <c r="I101" t="str">
        <f t="shared" si="11"/>
        <v>public const byte  = 97;</v>
      </c>
      <c r="L101" t="str">
        <f t="shared" si="13"/>
        <v>UpdateScanList(, 5000);</v>
      </c>
      <c r="N101" t="str">
        <f t="shared" si="8"/>
        <v>COM_AddStreamedVariable(, 1000);</v>
      </c>
      <c r="O101" t="str">
        <f t="shared" si="12"/>
        <v/>
      </c>
    </row>
    <row r="102" spans="2:16">
      <c r="B102" s="40"/>
      <c r="C102" s="1">
        <v>98</v>
      </c>
      <c r="D102" s="1" t="str">
        <f t="shared" si="9"/>
        <v>0062</v>
      </c>
      <c r="E102" t="s">
        <v>277</v>
      </c>
      <c r="H102" t="str">
        <f t="shared" si="10"/>
        <v>#define  VAR_BOILER_POWER  98</v>
      </c>
      <c r="I102" t="str">
        <f t="shared" si="11"/>
        <v>public const byte VAR_BOILER_POWER = 98;</v>
      </c>
      <c r="L102" t="str">
        <f t="shared" si="13"/>
        <v>UpdateScanList(VAR_BOILER_POWER, 5000);</v>
      </c>
      <c r="N102" t="str">
        <f t="shared" si="8"/>
        <v>COM_AddStreamedVariable(VAR_BOILER_POWER, 1000);</v>
      </c>
      <c r="O102" t="str">
        <f t="shared" si="12"/>
        <v>cJSON_AddItemToObject(Uha, "VAR_BOILER_POWER", cJSON_CreateNumber(mVars[VAR_BOILER_POWER]));</v>
      </c>
      <c r="P102" t="str">
        <f t="shared" si="14"/>
        <v>cJSON_AddItemToObject(Uha, "VAR_BOILER_POWER", cJSON_CreateNumber(mVars[98]));</v>
      </c>
    </row>
    <row r="103" spans="2:16">
      <c r="B103" s="40"/>
      <c r="C103" s="1">
        <v>99</v>
      </c>
      <c r="D103" s="1" t="str">
        <f t="shared" si="9"/>
        <v>0063</v>
      </c>
      <c r="E103" t="s">
        <v>278</v>
      </c>
      <c r="H103" t="str">
        <f t="shared" si="10"/>
        <v>#define  VAR_BOILER_HEAT  99</v>
      </c>
      <c r="I103" t="str">
        <f t="shared" si="11"/>
        <v>public const byte VAR_BOILER_HEAT = 99;</v>
      </c>
      <c r="L103" t="str">
        <f t="shared" si="13"/>
        <v>UpdateScanList(VAR_BOILER_HEAT, 5000);</v>
      </c>
      <c r="N103" t="str">
        <f t="shared" si="8"/>
        <v>COM_AddStreamedVariable(VAR_BOILER_HEAT, 1000);</v>
      </c>
      <c r="O103" t="str">
        <f t="shared" si="12"/>
        <v>cJSON_AddItemToObject(Uha, "VAR_BOILER_HEAT", cJSON_CreateNumber(mVars[VAR_BOILER_HEAT]));</v>
      </c>
      <c r="P103" t="str">
        <f t="shared" si="14"/>
        <v>cJSON_AddItemToObject(Uha, "VAR_BOILER_HEAT", cJSON_CreateNumber(mVars[99]));</v>
      </c>
    </row>
    <row r="104" spans="2:16" ht="15" customHeight="1">
      <c r="B104" s="40" t="s">
        <v>3</v>
      </c>
      <c r="C104" s="1">
        <v>100</v>
      </c>
      <c r="D104" s="1" t="str">
        <f t="shared" si="9"/>
        <v>0064</v>
      </c>
      <c r="E104" t="s">
        <v>5</v>
      </c>
      <c r="F104" t="s">
        <v>53</v>
      </c>
      <c r="G104">
        <v>1</v>
      </c>
      <c r="H104" t="str">
        <f>CONCATENATE("#define  ",E104,"  ",C104)</f>
        <v>#define  VAR_TEMP_BOILER  100</v>
      </c>
      <c r="I104" t="str">
        <f>CONCATENATE("public const byte ",E104," = ",C104,";")</f>
        <v>public const byte VAR_TEMP_BOILER = 100;</v>
      </c>
      <c r="K104" t="str">
        <f>CONCATENATE("TEMP_AssignSensor(",F104,", ",E104,", ",G104,");")</f>
        <v>TEMP_AssignSensor(T303, VAR_TEMP_BOILER, 1);</v>
      </c>
      <c r="L104" t="str">
        <f t="shared" si="13"/>
        <v>UpdateScanList(VAR_TEMP_BOILER, 5000);</v>
      </c>
      <c r="N104" t="str">
        <f t="shared" si="8"/>
        <v>COM_AddStreamedVariable(VAR_TEMP_BOILER, 1000);</v>
      </c>
      <c r="O104" t="str">
        <f t="shared" si="12"/>
        <v>cJSON_AddItemToObject(Uha, "VAR_TEMP_BOILER", cJSON_CreateNumber(mVars[VAR_TEMP_BOILER]));</v>
      </c>
      <c r="P104" t="str">
        <f t="shared" si="14"/>
        <v>cJSON_AddItemToObject(Uha, "VAR_TEMP_BOILER", cJSON_CreateNumber(mVars[100]));</v>
      </c>
    </row>
    <row r="105" spans="2:16">
      <c r="B105" s="40"/>
      <c r="C105" s="1">
        <v>101</v>
      </c>
      <c r="D105" s="1" t="str">
        <f t="shared" si="9"/>
        <v>0065</v>
      </c>
      <c r="E105" t="s">
        <v>6</v>
      </c>
      <c r="F105" t="s">
        <v>54</v>
      </c>
      <c r="G105">
        <v>1</v>
      </c>
      <c r="H105" t="str">
        <f t="shared" ref="H105:H116" si="15">CONCATENATE("#define  ",E105,"  ",C105)</f>
        <v>#define  VAR_TEMP_BOILER_IN  101</v>
      </c>
      <c r="I105" t="str">
        <f t="shared" ref="I105:I116" si="16">CONCATENATE("public const byte ",E105," = ",C105,";")</f>
        <v>public const byte VAR_TEMP_BOILER_IN = 101;</v>
      </c>
      <c r="K105" t="str">
        <f t="shared" ref="K105:K131" si="17">CONCATENATE("TEMP_AssignSensor(",F105,", ",E105,", ",G105,");")</f>
        <v>TEMP_AssignSensor(T110, VAR_TEMP_BOILER_IN, 1);</v>
      </c>
      <c r="L105" t="str">
        <f t="shared" si="13"/>
        <v>UpdateScanList(VAR_TEMP_BOILER_IN, 5000);</v>
      </c>
      <c r="N105" t="str">
        <f t="shared" si="8"/>
        <v>COM_AddStreamedVariable(VAR_TEMP_BOILER_IN, 1000);</v>
      </c>
      <c r="O105" t="str">
        <f t="shared" si="12"/>
        <v>cJSON_AddItemToObject(Uha, "VAR_TEMP_BOILER_IN", cJSON_CreateNumber(mVars[VAR_TEMP_BOILER_IN]));</v>
      </c>
      <c r="P105" t="str">
        <f t="shared" si="14"/>
        <v>cJSON_AddItemToObject(Uha, "VAR_TEMP_BOILER_IN", cJSON_CreateNumber(mVars[101]));</v>
      </c>
    </row>
    <row r="106" spans="2:16">
      <c r="B106" s="40"/>
      <c r="C106" s="1">
        <v>102</v>
      </c>
      <c r="D106" s="1" t="str">
        <f t="shared" si="9"/>
        <v>0066</v>
      </c>
      <c r="E106" t="s">
        <v>7</v>
      </c>
      <c r="F106" t="s">
        <v>55</v>
      </c>
      <c r="G106">
        <v>1</v>
      </c>
      <c r="H106" t="str">
        <f t="shared" si="15"/>
        <v>#define  VAR_TEMP_BOILER_OUT  102</v>
      </c>
      <c r="I106" t="str">
        <f t="shared" si="16"/>
        <v>public const byte VAR_TEMP_BOILER_OUT = 102;</v>
      </c>
      <c r="K106" t="str">
        <f t="shared" si="17"/>
        <v>TEMP_AssignSensor(T107, VAR_TEMP_BOILER_OUT, 1);</v>
      </c>
      <c r="L106" t="str">
        <f t="shared" si="13"/>
        <v>UpdateScanList(VAR_TEMP_BOILER_OUT, 5000);</v>
      </c>
      <c r="N106" t="str">
        <f t="shared" si="8"/>
        <v>COM_AddStreamedVariable(VAR_TEMP_BOILER_OUT, 1000);</v>
      </c>
      <c r="O106" t="str">
        <f t="shared" si="12"/>
        <v>cJSON_AddItemToObject(Uha, "VAR_TEMP_BOILER_OUT", cJSON_CreateNumber(mVars[VAR_TEMP_BOILER_OUT]));</v>
      </c>
      <c r="P106" t="str">
        <f t="shared" si="14"/>
        <v>cJSON_AddItemToObject(Uha, "VAR_TEMP_BOILER_OUT", cJSON_CreateNumber(mVars[102]));</v>
      </c>
    </row>
    <row r="107" spans="2:16">
      <c r="B107" s="40"/>
      <c r="C107" s="1">
        <v>103</v>
      </c>
      <c r="D107" s="1" t="str">
        <f t="shared" si="9"/>
        <v>0067</v>
      </c>
      <c r="E107" t="s">
        <v>144</v>
      </c>
      <c r="F107" t="s">
        <v>56</v>
      </c>
      <c r="G107">
        <v>0</v>
      </c>
      <c r="H107" t="str">
        <f t="shared" si="15"/>
        <v>#define  VAR_TEMP_TANK_IN_H  103</v>
      </c>
      <c r="I107" t="str">
        <f t="shared" si="16"/>
        <v>public const byte VAR_TEMP_TANK_IN_H = 103;</v>
      </c>
      <c r="K107" t="str">
        <f t="shared" si="17"/>
        <v>TEMP_AssignSensor(T108, VAR_TEMP_TANK_IN_H, 0);</v>
      </c>
      <c r="L107" t="str">
        <f t="shared" si="13"/>
        <v>UpdateScanList(VAR_TEMP_TANK_IN_H, 5000);</v>
      </c>
      <c r="N107" t="str">
        <f t="shared" si="8"/>
        <v>COM_AddStreamedVariable(VAR_TEMP_TANK_IN_H, 1000);</v>
      </c>
      <c r="O107" t="str">
        <f t="shared" si="12"/>
        <v>cJSON_AddItemToObject(Uha, "VAR_TEMP_TANK_IN_H", cJSON_CreateNumber(mVars[VAR_TEMP_TANK_IN_H]));</v>
      </c>
      <c r="P107" t="str">
        <f t="shared" si="14"/>
        <v>cJSON_AddItemToObject(Uha, "VAR_TEMP_TANK_IN_H", cJSON_CreateNumber(mVars[103]));</v>
      </c>
    </row>
    <row r="108" spans="2:16">
      <c r="B108" s="40"/>
      <c r="C108" s="1">
        <v>104</v>
      </c>
      <c r="D108" s="1" t="str">
        <f t="shared" si="9"/>
        <v>0068</v>
      </c>
      <c r="E108" t="s">
        <v>145</v>
      </c>
      <c r="F108" t="s">
        <v>57</v>
      </c>
      <c r="G108">
        <v>0</v>
      </c>
      <c r="H108" t="str">
        <f t="shared" si="15"/>
        <v>#define  VAR_TEMP_TANK_OUT_H  104</v>
      </c>
      <c r="I108" t="str">
        <f t="shared" si="16"/>
        <v>public const byte VAR_TEMP_TANK_OUT_H = 104;</v>
      </c>
      <c r="K108" t="str">
        <f t="shared" si="17"/>
        <v>TEMP_AssignSensor(T109, VAR_TEMP_TANK_OUT_H, 0);</v>
      </c>
      <c r="L108" t="str">
        <f t="shared" si="13"/>
        <v>UpdateScanList(VAR_TEMP_TANK_OUT_H, 5000);</v>
      </c>
      <c r="N108" t="str">
        <f t="shared" si="8"/>
        <v>COM_AddStreamedVariable(VAR_TEMP_TANK_OUT_H, 1000);</v>
      </c>
      <c r="O108" t="str">
        <f t="shared" si="12"/>
        <v>cJSON_AddItemToObject(Uha, "VAR_TEMP_TANK_OUT_H", cJSON_CreateNumber(mVars[VAR_TEMP_TANK_OUT_H]));</v>
      </c>
      <c r="P108" t="str">
        <f t="shared" si="14"/>
        <v>cJSON_AddItemToObject(Uha, "VAR_TEMP_TANK_OUT_H", cJSON_CreateNumber(mVars[104]));</v>
      </c>
    </row>
    <row r="109" spans="2:16">
      <c r="B109" s="40"/>
      <c r="C109" s="1">
        <v>105</v>
      </c>
      <c r="D109" s="1" t="str">
        <f t="shared" si="9"/>
        <v>0069</v>
      </c>
      <c r="E109" t="s">
        <v>8</v>
      </c>
      <c r="F109" t="s">
        <v>58</v>
      </c>
      <c r="G109">
        <v>0</v>
      </c>
      <c r="H109" t="str">
        <f t="shared" si="15"/>
        <v>#define  VAR_TEMP_TANK_1  105</v>
      </c>
      <c r="I109" t="str">
        <f t="shared" si="16"/>
        <v>public const byte VAR_TEMP_TANK_1 = 105;</v>
      </c>
      <c r="K109" t="str">
        <f t="shared" si="17"/>
        <v>TEMP_AssignSensor(T301, VAR_TEMP_TANK_1, 0);</v>
      </c>
      <c r="L109" t="str">
        <f t="shared" si="13"/>
        <v>UpdateScanList(VAR_TEMP_TANK_1, 5000);</v>
      </c>
      <c r="N109" t="str">
        <f t="shared" si="8"/>
        <v>COM_AddStreamedVariable(VAR_TEMP_TANK_1, 1000);</v>
      </c>
      <c r="O109" t="str">
        <f t="shared" si="12"/>
        <v>cJSON_AddItemToObject(Uha, "VAR_TEMP_TANK_1", cJSON_CreateNumber(mVars[VAR_TEMP_TANK_1]));</v>
      </c>
      <c r="P109" t="str">
        <f t="shared" si="14"/>
        <v>cJSON_AddItemToObject(Uha, "VAR_TEMP_TANK_1", cJSON_CreateNumber(mVars[105]));</v>
      </c>
    </row>
    <row r="110" spans="2:16">
      <c r="B110" s="40"/>
      <c r="C110" s="1">
        <v>106</v>
      </c>
      <c r="D110" s="1" t="str">
        <f t="shared" si="9"/>
        <v>006A</v>
      </c>
      <c r="E110" t="s">
        <v>9</v>
      </c>
      <c r="F110" t="s">
        <v>59</v>
      </c>
      <c r="G110">
        <v>0</v>
      </c>
      <c r="H110" t="str">
        <f t="shared" si="15"/>
        <v>#define  VAR_TEMP_TANK_2  106</v>
      </c>
      <c r="I110" t="str">
        <f t="shared" si="16"/>
        <v>public const byte VAR_TEMP_TANK_2 = 106;</v>
      </c>
      <c r="K110" t="str">
        <f t="shared" si="17"/>
        <v>TEMP_AssignSensor(T302, VAR_TEMP_TANK_2, 0);</v>
      </c>
      <c r="L110" t="str">
        <f t="shared" si="13"/>
        <v>UpdateScanList(VAR_TEMP_TANK_2, 5000);</v>
      </c>
      <c r="N110" t="str">
        <f t="shared" si="8"/>
        <v>COM_AddStreamedVariable(VAR_TEMP_TANK_2, 1000);</v>
      </c>
      <c r="O110" t="str">
        <f t="shared" si="12"/>
        <v>cJSON_AddItemToObject(Uha, "VAR_TEMP_TANK_2", cJSON_CreateNumber(mVars[VAR_TEMP_TANK_2]));</v>
      </c>
      <c r="P110" t="str">
        <f t="shared" si="14"/>
        <v>cJSON_AddItemToObject(Uha, "VAR_TEMP_TANK_2", cJSON_CreateNumber(mVars[106]));</v>
      </c>
    </row>
    <row r="111" spans="2:16">
      <c r="B111" s="40"/>
      <c r="C111" s="1">
        <v>107</v>
      </c>
      <c r="D111" s="1" t="str">
        <f t="shared" si="9"/>
        <v>006B</v>
      </c>
      <c r="E111" t="s">
        <v>10</v>
      </c>
      <c r="F111" t="s">
        <v>60</v>
      </c>
      <c r="G111">
        <v>0</v>
      </c>
      <c r="H111" t="str">
        <f t="shared" si="15"/>
        <v>#define  VAR_TEMP_TANK_3  107</v>
      </c>
      <c r="I111" t="str">
        <f t="shared" si="16"/>
        <v>public const byte VAR_TEMP_TANK_3 = 107;</v>
      </c>
      <c r="K111" t="str">
        <f t="shared" si="17"/>
        <v>TEMP_AssignSensor(T103, VAR_TEMP_TANK_3, 0);</v>
      </c>
      <c r="L111" t="str">
        <f t="shared" si="13"/>
        <v>UpdateScanList(VAR_TEMP_TANK_3, 5000);</v>
      </c>
      <c r="N111" t="str">
        <f t="shared" si="8"/>
        <v>COM_AddStreamedVariable(VAR_TEMP_TANK_3, 1000);</v>
      </c>
      <c r="O111" t="str">
        <f t="shared" si="12"/>
        <v>cJSON_AddItemToObject(Uha, "VAR_TEMP_TANK_3", cJSON_CreateNumber(mVars[VAR_TEMP_TANK_3]));</v>
      </c>
      <c r="P111" t="str">
        <f t="shared" si="14"/>
        <v>cJSON_AddItemToObject(Uha, "VAR_TEMP_TANK_3", cJSON_CreateNumber(mVars[107]));</v>
      </c>
    </row>
    <row r="112" spans="2:16">
      <c r="B112" s="40"/>
      <c r="C112" s="1">
        <v>108</v>
      </c>
      <c r="D112" s="1" t="str">
        <f t="shared" si="9"/>
        <v>006C</v>
      </c>
      <c r="E112" t="s">
        <v>11</v>
      </c>
      <c r="F112" t="s">
        <v>61</v>
      </c>
      <c r="G112">
        <v>0</v>
      </c>
      <c r="H112" t="str">
        <f t="shared" si="15"/>
        <v>#define  VAR_TEMP_TANK_4  108</v>
      </c>
      <c r="I112" t="str">
        <f t="shared" si="16"/>
        <v>public const byte VAR_TEMP_TANK_4 = 108;</v>
      </c>
      <c r="K112" t="str">
        <f t="shared" si="17"/>
        <v>TEMP_AssignSensor(T104, VAR_TEMP_TANK_4, 0);</v>
      </c>
      <c r="L112" t="str">
        <f t="shared" si="13"/>
        <v>UpdateScanList(VAR_TEMP_TANK_4, 5000);</v>
      </c>
      <c r="N112" t="str">
        <f t="shared" si="8"/>
        <v>COM_AddStreamedVariable(VAR_TEMP_TANK_4, 1000);</v>
      </c>
      <c r="O112" t="str">
        <f t="shared" si="12"/>
        <v>cJSON_AddItemToObject(Uha, "VAR_TEMP_TANK_4", cJSON_CreateNumber(mVars[VAR_TEMP_TANK_4]));</v>
      </c>
      <c r="P112" t="str">
        <f t="shared" si="14"/>
        <v>cJSON_AddItemToObject(Uha, "VAR_TEMP_TANK_4", cJSON_CreateNumber(mVars[108]));</v>
      </c>
    </row>
    <row r="113" spans="2:16">
      <c r="B113" s="40"/>
      <c r="C113" s="1">
        <v>109</v>
      </c>
      <c r="D113" s="1" t="str">
        <f t="shared" si="9"/>
        <v>006D</v>
      </c>
      <c r="E113" t="s">
        <v>12</v>
      </c>
      <c r="F113" t="s">
        <v>62</v>
      </c>
      <c r="G113">
        <v>0</v>
      </c>
      <c r="H113" t="str">
        <f t="shared" si="15"/>
        <v>#define  VAR_TEMP_TANK_5  109</v>
      </c>
      <c r="I113" t="str">
        <f t="shared" si="16"/>
        <v>public const byte VAR_TEMP_TANK_5 = 109;</v>
      </c>
      <c r="K113" t="str">
        <f t="shared" si="17"/>
        <v>TEMP_AssignSensor(T105, VAR_TEMP_TANK_5, 0);</v>
      </c>
      <c r="L113" t="str">
        <f t="shared" si="13"/>
        <v>UpdateScanList(VAR_TEMP_TANK_5, 5000);</v>
      </c>
      <c r="N113" t="str">
        <f t="shared" si="8"/>
        <v>COM_AddStreamedVariable(VAR_TEMP_TANK_5, 1000);</v>
      </c>
      <c r="O113" t="str">
        <f t="shared" si="12"/>
        <v>cJSON_AddItemToObject(Uha, "VAR_TEMP_TANK_5", cJSON_CreateNumber(mVars[VAR_TEMP_TANK_5]));</v>
      </c>
      <c r="P113" t="str">
        <f t="shared" si="14"/>
        <v>cJSON_AddItemToObject(Uha, "VAR_TEMP_TANK_5", cJSON_CreateNumber(mVars[109]));</v>
      </c>
    </row>
    <row r="114" spans="2:16">
      <c r="B114" s="40"/>
      <c r="C114" s="1">
        <v>110</v>
      </c>
      <c r="D114" s="1" t="str">
        <f t="shared" si="9"/>
        <v>006E</v>
      </c>
      <c r="E114" t="s">
        <v>13</v>
      </c>
      <c r="F114" t="s">
        <v>63</v>
      </c>
      <c r="G114">
        <v>0</v>
      </c>
      <c r="H114" t="str">
        <f t="shared" si="15"/>
        <v>#define  VAR_TEMP_TANK_6  110</v>
      </c>
      <c r="I114" t="str">
        <f t="shared" si="16"/>
        <v>public const byte VAR_TEMP_TANK_6 = 110;</v>
      </c>
      <c r="K114" t="str">
        <f t="shared" si="17"/>
        <v>TEMP_AssignSensor(T306, VAR_TEMP_TANK_6, 0);</v>
      </c>
      <c r="L114" t="str">
        <f t="shared" si="13"/>
        <v>UpdateScanList(VAR_TEMP_TANK_6, 5000);</v>
      </c>
      <c r="N114" t="str">
        <f t="shared" si="8"/>
        <v>COM_AddStreamedVariable(VAR_TEMP_TANK_6, 1000);</v>
      </c>
      <c r="O114" t="str">
        <f t="shared" si="12"/>
        <v>cJSON_AddItemToObject(Uha, "VAR_TEMP_TANK_6", cJSON_CreateNumber(mVars[VAR_TEMP_TANK_6]));</v>
      </c>
      <c r="P114" t="str">
        <f t="shared" si="14"/>
        <v>cJSON_AddItemToObject(Uha, "VAR_TEMP_TANK_6", cJSON_CreateNumber(mVars[110]));</v>
      </c>
    </row>
    <row r="115" spans="2:16">
      <c r="B115" s="40"/>
      <c r="C115" s="1">
        <v>111</v>
      </c>
      <c r="D115" s="1" t="str">
        <f t="shared" si="9"/>
        <v>006F</v>
      </c>
      <c r="E115" t="s">
        <v>49</v>
      </c>
      <c r="F115" t="s">
        <v>162</v>
      </c>
      <c r="G115">
        <v>1</v>
      </c>
      <c r="H115" t="str">
        <f t="shared" si="15"/>
        <v>#define  VAR_TEMP_WALL_IN  111</v>
      </c>
      <c r="I115" t="str">
        <f t="shared" si="16"/>
        <v>public const byte VAR_TEMP_WALL_IN = 111;</v>
      </c>
      <c r="K115" t="str">
        <f t="shared" si="17"/>
        <v>TEMP_AssignSensor(T2, VAR_TEMP_WALL_IN, 1);</v>
      </c>
      <c r="L115" t="str">
        <f t="shared" si="13"/>
        <v>UpdateScanList(VAR_TEMP_WALL_IN, 5000);</v>
      </c>
      <c r="N115" t="str">
        <f t="shared" si="8"/>
        <v>COM_AddStreamedVariable(VAR_TEMP_WALL_IN, 1000);</v>
      </c>
      <c r="O115" t="str">
        <f t="shared" si="12"/>
        <v>cJSON_AddItemToObject(Uha, "VAR_TEMP_WALL_IN", cJSON_CreateNumber(mVars[VAR_TEMP_WALL_IN]));</v>
      </c>
      <c r="P115" t="str">
        <f t="shared" si="14"/>
        <v>cJSON_AddItemToObject(Uha, "VAR_TEMP_WALL_IN", cJSON_CreateNumber(mVars[111]));</v>
      </c>
    </row>
    <row r="116" spans="2:16">
      <c r="B116" s="40"/>
      <c r="C116" s="1">
        <v>112</v>
      </c>
      <c r="D116" s="1" t="str">
        <f t="shared" si="9"/>
        <v>0070</v>
      </c>
      <c r="E116" t="s">
        <v>50</v>
      </c>
      <c r="F116" t="s">
        <v>163</v>
      </c>
      <c r="G116">
        <v>1</v>
      </c>
      <c r="H116" t="str">
        <f t="shared" si="15"/>
        <v>#define  VAR_TEMP_WALL_OUT  112</v>
      </c>
      <c r="I116" t="str">
        <f t="shared" si="16"/>
        <v>public const byte VAR_TEMP_WALL_OUT = 112;</v>
      </c>
      <c r="K116" t="str">
        <f t="shared" si="17"/>
        <v>TEMP_AssignSensor(T3, VAR_TEMP_WALL_OUT, 1);</v>
      </c>
      <c r="L116" t="str">
        <f t="shared" si="13"/>
        <v>UpdateScanList(VAR_TEMP_WALL_OUT, 5000);</v>
      </c>
      <c r="N116" t="str">
        <f t="shared" si="8"/>
        <v>COM_AddStreamedVariable(VAR_TEMP_WALL_OUT, 1000);</v>
      </c>
      <c r="O116" t="str">
        <f t="shared" si="12"/>
        <v>cJSON_AddItemToObject(Uha, "VAR_TEMP_WALL_OUT", cJSON_CreateNumber(mVars[VAR_TEMP_WALL_OUT]));</v>
      </c>
      <c r="P116" t="str">
        <f t="shared" si="14"/>
        <v>cJSON_AddItemToObject(Uha, "VAR_TEMP_WALL_OUT", cJSON_CreateNumber(mVars[112]));</v>
      </c>
    </row>
    <row r="117" spans="2:16">
      <c r="B117" s="40"/>
      <c r="C117" s="1">
        <v>113</v>
      </c>
      <c r="D117" s="1" t="str">
        <f t="shared" si="9"/>
        <v>0071</v>
      </c>
      <c r="E117" t="s">
        <v>51</v>
      </c>
      <c r="G117" t="s">
        <v>152</v>
      </c>
      <c r="H117" t="str">
        <f t="shared" ref="H117:H132" si="18">CONCATENATE("#define  ",E117,"  ",C117)</f>
        <v>#define  VAR_TEMP_BOILER_EXHAUST  113</v>
      </c>
      <c r="I117" t="str">
        <f t="shared" ref="I117:I132" si="19">CONCATENATE("public const byte ",E117," = ",C117,";")</f>
        <v>public const byte VAR_TEMP_BOILER_EXHAUST = 113;</v>
      </c>
      <c r="K117" t="str">
        <f t="shared" si="17"/>
        <v>TEMP_AssignSensor(, VAR_TEMP_BOILER_EXHAUST, PTC);</v>
      </c>
      <c r="L117" t="str">
        <f t="shared" si="13"/>
        <v>UpdateScanList(VAR_TEMP_BOILER_EXHAUST, 5000);</v>
      </c>
      <c r="N117" t="str">
        <f t="shared" si="8"/>
        <v>COM_AddStreamedVariable(VAR_TEMP_BOILER_EXHAUST, 1000);</v>
      </c>
      <c r="O117" t="str">
        <f t="shared" si="12"/>
        <v>cJSON_AddItemToObject(Uha, "VAR_TEMP_BOILER_EXHAUST", cJSON_CreateNumber(mVars[VAR_TEMP_BOILER_EXHAUST]));</v>
      </c>
      <c r="P117" t="str">
        <f t="shared" si="14"/>
        <v>cJSON_AddItemToObject(Uha, "VAR_TEMP_BOILER_EXHAUST", cJSON_CreateNumber(mVars[113]));</v>
      </c>
    </row>
    <row r="118" spans="2:16">
      <c r="B118" s="40"/>
      <c r="C118" s="1">
        <v>114</v>
      </c>
      <c r="D118" s="1" t="str">
        <f t="shared" si="9"/>
        <v>0072</v>
      </c>
      <c r="E118" t="s">
        <v>146</v>
      </c>
      <c r="F118" t="s">
        <v>64</v>
      </c>
      <c r="G118">
        <v>1</v>
      </c>
      <c r="H118" t="str">
        <f t="shared" si="18"/>
        <v>#define  VAR_TEMP_RAD_H  114</v>
      </c>
      <c r="I118" t="str">
        <f t="shared" si="19"/>
        <v>public const byte VAR_TEMP_RAD_H = 114;</v>
      </c>
      <c r="K118" t="str">
        <f t="shared" si="17"/>
        <v>TEMP_AssignSensor(T101, VAR_TEMP_RAD_H, 1);</v>
      </c>
      <c r="L118" t="str">
        <f t="shared" si="13"/>
        <v>UpdateScanList(VAR_TEMP_RAD_H, 5000);</v>
      </c>
      <c r="N118" t="str">
        <f t="shared" si="8"/>
        <v>COM_AddStreamedVariable(VAR_TEMP_RAD_H, 1000);</v>
      </c>
      <c r="O118" t="str">
        <f t="shared" si="12"/>
        <v>cJSON_AddItemToObject(Uha, "VAR_TEMP_RAD_H", cJSON_CreateNumber(mVars[VAR_TEMP_RAD_H]));</v>
      </c>
      <c r="P118" t="str">
        <f t="shared" si="14"/>
        <v>cJSON_AddItemToObject(Uha, "VAR_TEMP_RAD_H", cJSON_CreateNumber(mVars[114]));</v>
      </c>
    </row>
    <row r="119" spans="2:16">
      <c r="B119" s="40"/>
      <c r="C119" s="1">
        <v>115</v>
      </c>
      <c r="D119" s="1" t="str">
        <f t="shared" si="9"/>
        <v>0073</v>
      </c>
      <c r="E119" t="s">
        <v>147</v>
      </c>
      <c r="F119" t="s">
        <v>65</v>
      </c>
      <c r="G119">
        <v>1</v>
      </c>
      <c r="H119" t="str">
        <f t="shared" si="18"/>
        <v>#define  VAR_TEMP_RAD_C  115</v>
      </c>
      <c r="I119" t="str">
        <f t="shared" si="19"/>
        <v>public const byte VAR_TEMP_RAD_C = 115;</v>
      </c>
      <c r="K119" t="str">
        <f t="shared" si="17"/>
        <v>TEMP_AssignSensor(T106, VAR_TEMP_RAD_C, 1);</v>
      </c>
      <c r="L119" t="str">
        <f t="shared" si="13"/>
        <v>UpdateScanList(VAR_TEMP_RAD_C, 5000);</v>
      </c>
      <c r="N119" t="str">
        <f t="shared" si="8"/>
        <v>COM_AddStreamedVariable(VAR_TEMP_RAD_C, 1000);</v>
      </c>
      <c r="O119" t="str">
        <f t="shared" si="12"/>
        <v>cJSON_AddItemToObject(Uha, "VAR_TEMP_RAD_C", cJSON_CreateNumber(mVars[VAR_TEMP_RAD_C]));</v>
      </c>
      <c r="P119" t="str">
        <f t="shared" si="14"/>
        <v>cJSON_AddItemToObject(Uha, "VAR_TEMP_RAD_C", cJSON_CreateNumber(mVars[115]));</v>
      </c>
    </row>
    <row r="120" spans="2:16">
      <c r="B120" s="40"/>
      <c r="C120" s="1">
        <v>116</v>
      </c>
      <c r="D120" s="1" t="str">
        <f t="shared" si="9"/>
        <v>0074</v>
      </c>
      <c r="E120" t="s">
        <v>148</v>
      </c>
      <c r="F120" t="s">
        <v>150</v>
      </c>
      <c r="G120">
        <v>1</v>
      </c>
      <c r="H120" t="str">
        <f t="shared" si="18"/>
        <v>#define  VAR_TEMP_TANK_IN_C  116</v>
      </c>
      <c r="I120" t="str">
        <f t="shared" si="19"/>
        <v>public const byte VAR_TEMP_TANK_IN_C = 116;</v>
      </c>
      <c r="K120" t="str">
        <f t="shared" si="17"/>
        <v>TEMP_AssignSensor(T102, VAR_TEMP_TANK_IN_C, 1);</v>
      </c>
      <c r="L120" t="str">
        <f t="shared" si="13"/>
        <v>UpdateScanList(VAR_TEMP_TANK_IN_C, 5000);</v>
      </c>
      <c r="N120" t="str">
        <f t="shared" si="8"/>
        <v>COM_AddStreamedVariable(VAR_TEMP_TANK_IN_C, 1000);</v>
      </c>
      <c r="O120" t="str">
        <f t="shared" si="12"/>
        <v>cJSON_AddItemToObject(Uha, "VAR_TEMP_TANK_IN_C", cJSON_CreateNumber(mVars[VAR_TEMP_TANK_IN_C]));</v>
      </c>
      <c r="P120" t="str">
        <f t="shared" si="14"/>
        <v>cJSON_AddItemToObject(Uha, "VAR_TEMP_TANK_IN_C", cJSON_CreateNumber(mVars[116]));</v>
      </c>
    </row>
    <row r="121" spans="2:16">
      <c r="B121" s="40"/>
      <c r="C121" s="1">
        <v>117</v>
      </c>
      <c r="D121" s="1" t="str">
        <f t="shared" si="9"/>
        <v>0075</v>
      </c>
      <c r="E121" t="s">
        <v>149</v>
      </c>
      <c r="F121" t="s">
        <v>151</v>
      </c>
      <c r="G121">
        <v>1</v>
      </c>
      <c r="H121" t="str">
        <f t="shared" si="18"/>
        <v>#define  VAR_TEMP_TANK_OUT_C  117</v>
      </c>
      <c r="I121" t="str">
        <f t="shared" si="19"/>
        <v>public const byte VAR_TEMP_TANK_OUT_C = 117;</v>
      </c>
      <c r="K121" t="str">
        <f t="shared" si="17"/>
        <v>TEMP_AssignSensor(T8, VAR_TEMP_TANK_OUT_C, 1);</v>
      </c>
      <c r="L121" t="str">
        <f t="shared" si="13"/>
        <v>UpdateScanList(VAR_TEMP_TANK_OUT_C, 5000);</v>
      </c>
      <c r="N121" t="str">
        <f t="shared" si="8"/>
        <v>COM_AddStreamedVariable(VAR_TEMP_TANK_OUT_C, 1000);</v>
      </c>
      <c r="O121" t="str">
        <f t="shared" si="12"/>
        <v>cJSON_AddItemToObject(Uha, "VAR_TEMP_TANK_OUT_C", cJSON_CreateNumber(mVars[VAR_TEMP_TANK_OUT_C]));</v>
      </c>
      <c r="P121" t="str">
        <f t="shared" si="14"/>
        <v>cJSON_AddItemToObject(Uha, "VAR_TEMP_TANK_OUT_C", cJSON_CreateNumber(mVars[117]));</v>
      </c>
    </row>
    <row r="122" spans="2:16">
      <c r="B122" s="40"/>
      <c r="C122" s="1">
        <v>118</v>
      </c>
      <c r="D122" s="1" t="str">
        <f t="shared" si="9"/>
        <v>0076</v>
      </c>
      <c r="L122" t="str">
        <f t="shared" si="13"/>
        <v>UpdateScanList(, 5000);</v>
      </c>
      <c r="N122" t="str">
        <f t="shared" si="8"/>
        <v>COM_AddStreamedVariable(, 1000);</v>
      </c>
      <c r="O122" t="str">
        <f t="shared" si="12"/>
        <v/>
      </c>
      <c r="P122" t="str">
        <f t="shared" si="14"/>
        <v>cJSON_AddItemToObject(Uha, "", cJSON_CreateNumber(mVars[118]));</v>
      </c>
    </row>
    <row r="123" spans="2:16">
      <c r="B123" s="40"/>
      <c r="C123" s="1">
        <v>119</v>
      </c>
      <c r="D123" s="1" t="str">
        <f t="shared" si="9"/>
        <v>0077</v>
      </c>
      <c r="L123" t="str">
        <f t="shared" si="13"/>
        <v>UpdateScanList(, 5000);</v>
      </c>
      <c r="N123" t="str">
        <f t="shared" si="8"/>
        <v>COM_AddStreamedVariable(, 1000);</v>
      </c>
      <c r="O123" t="str">
        <f t="shared" si="12"/>
        <v/>
      </c>
      <c r="P123" t="str">
        <f t="shared" si="14"/>
        <v>cJSON_AddItemToObject(Uha, "", cJSON_CreateNumber(mVars[119]));</v>
      </c>
    </row>
    <row r="124" spans="2:16">
      <c r="B124" s="40"/>
      <c r="C124" s="1">
        <v>120</v>
      </c>
      <c r="D124" s="1" t="str">
        <f t="shared" si="9"/>
        <v>0078</v>
      </c>
      <c r="E124" t="s">
        <v>75</v>
      </c>
      <c r="F124" t="s">
        <v>82</v>
      </c>
      <c r="H124" t="str">
        <f t="shared" si="18"/>
        <v>#define  VAR_TEMP_TECHM_BOARD  120</v>
      </c>
      <c r="I124" t="str">
        <f t="shared" si="19"/>
        <v>public const byte VAR_TEMP_TECHM_BOARD = 120;</v>
      </c>
      <c r="K124" t="str">
        <f t="shared" si="17"/>
        <v>TEMP_AssignSensor(T_TECHM, VAR_TEMP_TECHM_BOARD, );</v>
      </c>
      <c r="L124" t="str">
        <f t="shared" si="13"/>
        <v>UpdateScanList(VAR_TEMP_TECHM_BOARD, 5000);</v>
      </c>
      <c r="N124" t="str">
        <f t="shared" si="8"/>
        <v>COM_AddStreamedVariable(VAR_TEMP_TECHM_BOARD, 1000);</v>
      </c>
      <c r="O124" t="str">
        <f t="shared" si="12"/>
        <v>cJSON_AddItemToObject(Uha, "VAR_TEMP_TECHM_BOARD", cJSON_CreateNumber(mVars[VAR_TEMP_TECHM_BOARD]));</v>
      </c>
      <c r="P124" t="str">
        <f t="shared" si="14"/>
        <v>cJSON_AddItemToObject(Uha, "VAR_TEMP_TECHM_BOARD", cJSON_CreateNumber(mVars[120]));</v>
      </c>
    </row>
    <row r="125" spans="2:16">
      <c r="B125" s="40"/>
      <c r="C125" s="1">
        <v>121</v>
      </c>
      <c r="D125" s="1" t="str">
        <f t="shared" si="9"/>
        <v>0079</v>
      </c>
      <c r="E125" t="s">
        <v>76</v>
      </c>
      <c r="F125" t="s">
        <v>80</v>
      </c>
      <c r="G125">
        <v>0</v>
      </c>
      <c r="H125" t="str">
        <f t="shared" si="18"/>
        <v>#define  VAR_TEMP_IOBOARD_D  121</v>
      </c>
      <c r="I125" t="str">
        <f t="shared" si="19"/>
        <v>public const byte VAR_TEMP_IOBOARD_D = 121;</v>
      </c>
      <c r="K125" t="str">
        <f t="shared" si="17"/>
        <v>TEMP_AssignSensor(T_IOBOARD_D, VAR_TEMP_IOBOARD_D, 0);</v>
      </c>
      <c r="L125" t="str">
        <f t="shared" si="13"/>
        <v>UpdateScanList(VAR_TEMP_IOBOARD_D, 5000);</v>
      </c>
      <c r="N125" t="str">
        <f t="shared" si="8"/>
        <v>COM_AddStreamedVariable(VAR_TEMP_IOBOARD_D, 1000);</v>
      </c>
      <c r="O125" t="str">
        <f t="shared" si="12"/>
        <v>cJSON_AddItemToObject(Uha, "VAR_TEMP_IOBOARD_D", cJSON_CreateNumber(mVars[VAR_TEMP_IOBOARD_D]));</v>
      </c>
      <c r="P125" t="str">
        <f t="shared" si="14"/>
        <v>cJSON_AddItemToObject(Uha, "VAR_TEMP_IOBOARD_D", cJSON_CreateNumber(mVars[121]));</v>
      </c>
    </row>
    <row r="126" spans="2:16">
      <c r="B126" s="40"/>
      <c r="C126" s="1">
        <v>122</v>
      </c>
      <c r="D126" s="1" t="str">
        <f t="shared" si="9"/>
        <v>007A</v>
      </c>
      <c r="E126" t="s">
        <v>77</v>
      </c>
      <c r="F126" t="s">
        <v>83</v>
      </c>
      <c r="G126">
        <v>0</v>
      </c>
      <c r="H126" t="str">
        <f t="shared" si="18"/>
        <v>#define  VAR_TEMP_IOBOARD_U  122</v>
      </c>
      <c r="I126" t="str">
        <f t="shared" si="19"/>
        <v>public const byte VAR_TEMP_IOBOARD_U = 122;</v>
      </c>
      <c r="K126" t="str">
        <f t="shared" si="17"/>
        <v>TEMP_AssignSensor(T_IOBOARD_U, VAR_TEMP_IOBOARD_U, 0);</v>
      </c>
      <c r="L126" t="str">
        <f t="shared" si="13"/>
        <v>UpdateScanList(VAR_TEMP_IOBOARD_U, 5000);</v>
      </c>
      <c r="N126" t="str">
        <f t="shared" si="8"/>
        <v>COM_AddStreamedVariable(VAR_TEMP_IOBOARD_U, 1000);</v>
      </c>
      <c r="O126" t="str">
        <f t="shared" si="12"/>
        <v>cJSON_AddItemToObject(Uha, "VAR_TEMP_IOBOARD_U", cJSON_CreateNumber(mVars[VAR_TEMP_IOBOARD_U]));</v>
      </c>
      <c r="P126" t="str">
        <f t="shared" si="14"/>
        <v>cJSON_AddItemToObject(Uha, "VAR_TEMP_IOBOARD_U", cJSON_CreateNumber(mVars[122]));</v>
      </c>
    </row>
    <row r="127" spans="2:16">
      <c r="B127" s="40"/>
      <c r="C127" s="1">
        <v>123</v>
      </c>
      <c r="D127" s="1" t="str">
        <f t="shared" si="9"/>
        <v>007B</v>
      </c>
      <c r="E127" t="s">
        <v>78</v>
      </c>
      <c r="F127" t="s">
        <v>84</v>
      </c>
      <c r="G127">
        <v>0</v>
      </c>
      <c r="H127" t="str">
        <f t="shared" si="18"/>
        <v>#define  VAR_TEMP_ELECON_BOARD  123</v>
      </c>
      <c r="I127" t="str">
        <f t="shared" si="19"/>
        <v>public const byte VAR_TEMP_ELECON_BOARD = 123;</v>
      </c>
      <c r="K127" t="str">
        <f t="shared" si="17"/>
        <v>TEMP_AssignSensor(T_ELECON, VAR_TEMP_ELECON_BOARD, 0);</v>
      </c>
      <c r="L127" t="str">
        <f t="shared" si="13"/>
        <v>UpdateScanList(VAR_TEMP_ELECON_BOARD, 5000);</v>
      </c>
      <c r="N127" t="str">
        <f t="shared" si="8"/>
        <v>COM_AddStreamedVariable(VAR_TEMP_ELECON_BOARD, 1000);</v>
      </c>
      <c r="O127" t="str">
        <f t="shared" si="12"/>
        <v>cJSON_AddItemToObject(Uha, "VAR_TEMP_ELECON_BOARD", cJSON_CreateNumber(mVars[VAR_TEMP_ELECON_BOARD]));</v>
      </c>
      <c r="P127" t="str">
        <f t="shared" si="14"/>
        <v>cJSON_AddItemToObject(Uha, "VAR_TEMP_ELECON_BOARD", cJSON_CreateNumber(mVars[123]));</v>
      </c>
    </row>
    <row r="128" spans="2:16">
      <c r="B128" s="40"/>
      <c r="C128" s="1">
        <v>124</v>
      </c>
      <c r="D128" s="1" t="str">
        <f t="shared" si="9"/>
        <v>007C</v>
      </c>
      <c r="E128" t="s">
        <v>79</v>
      </c>
      <c r="F128" t="s">
        <v>81</v>
      </c>
      <c r="G128">
        <v>0</v>
      </c>
      <c r="H128" t="str">
        <f t="shared" si="18"/>
        <v>#define  VAR_TEMP_DOWNSTAIRS  124</v>
      </c>
      <c r="I128" t="str">
        <f t="shared" si="19"/>
        <v>public const byte VAR_TEMP_DOWNSTAIRS = 124;</v>
      </c>
      <c r="K128" t="str">
        <f t="shared" si="17"/>
        <v>TEMP_AssignSensor(T9, VAR_TEMP_DOWNSTAIRS, 0);</v>
      </c>
      <c r="L128" t="str">
        <f t="shared" si="13"/>
        <v>UpdateScanList(VAR_TEMP_DOWNSTAIRS, 5000);</v>
      </c>
      <c r="N128" t="str">
        <f t="shared" si="8"/>
        <v>COM_AddStreamedVariable(VAR_TEMP_DOWNSTAIRS, 1000);</v>
      </c>
      <c r="O128" t="str">
        <f t="shared" si="12"/>
        <v>cJSON_AddItemToObject(Uha, "VAR_TEMP_DOWNSTAIRS", cJSON_CreateNumber(mVars[VAR_TEMP_DOWNSTAIRS]));</v>
      </c>
      <c r="P128" t="str">
        <f t="shared" si="14"/>
        <v>cJSON_AddItemToObject(Uha, "VAR_TEMP_DOWNSTAIRS", cJSON_CreateNumber(mVars[124]));</v>
      </c>
    </row>
    <row r="129" spans="2:16">
      <c r="B129" s="40"/>
      <c r="C129" s="1">
        <v>125</v>
      </c>
      <c r="D129" s="1" t="str">
        <f t="shared" si="9"/>
        <v>007D</v>
      </c>
      <c r="E129" t="s">
        <v>160</v>
      </c>
      <c r="F129" t="s">
        <v>164</v>
      </c>
      <c r="G129">
        <v>0</v>
      </c>
      <c r="H129" t="str">
        <f t="shared" si="18"/>
        <v>#define  VAR_TEMP_OFFICE  125</v>
      </c>
      <c r="I129" t="str">
        <f t="shared" si="19"/>
        <v>public const byte VAR_TEMP_OFFICE = 125;</v>
      </c>
      <c r="K129" t="str">
        <f t="shared" si="17"/>
        <v>TEMP_AssignSensor(T7, VAR_TEMP_OFFICE, 0);</v>
      </c>
      <c r="L129" t="str">
        <f t="shared" si="13"/>
        <v>UpdateScanList(VAR_TEMP_OFFICE, 5000);</v>
      </c>
      <c r="N129" t="str">
        <f t="shared" ref="N129:N137" si="20">CONCATENATE("COM_AddStreamedVariable(",E129, ", 1000);")</f>
        <v>COM_AddStreamedVariable(VAR_TEMP_OFFICE, 1000);</v>
      </c>
      <c r="O129" t="str">
        <f t="shared" si="12"/>
        <v>cJSON_AddItemToObject(Uha, "VAR_TEMP_OFFICE", cJSON_CreateNumber(mVars[VAR_TEMP_OFFICE]));</v>
      </c>
      <c r="P129" t="str">
        <f t="shared" si="14"/>
        <v>cJSON_AddItemToObject(Uha, "VAR_TEMP_OFFICE", cJSON_CreateNumber(mVars[125]));</v>
      </c>
    </row>
    <row r="130" spans="2:16">
      <c r="B130" s="40"/>
      <c r="C130" s="1">
        <v>126</v>
      </c>
      <c r="D130" s="1" t="str">
        <f t="shared" si="9"/>
        <v>007E</v>
      </c>
      <c r="E130" t="s">
        <v>165</v>
      </c>
      <c r="F130" t="s">
        <v>161</v>
      </c>
      <c r="G130">
        <v>0</v>
      </c>
      <c r="H130" t="str">
        <f t="shared" si="18"/>
        <v>#define  VAR_TEMP_KIDROOM  126</v>
      </c>
      <c r="I130" t="str">
        <f t="shared" si="19"/>
        <v>public const byte VAR_TEMP_KIDROOM = 126;</v>
      </c>
      <c r="K130" t="str">
        <f t="shared" si="17"/>
        <v>TEMP_AssignSensor(T310, VAR_TEMP_KIDROOM, 0);</v>
      </c>
      <c r="L130" t="str">
        <f t="shared" si="13"/>
        <v>UpdateScanList(VAR_TEMP_KIDROOM, 5000);</v>
      </c>
      <c r="N130" t="str">
        <f t="shared" si="20"/>
        <v>COM_AddStreamedVariable(VAR_TEMP_KIDROOM, 1000);</v>
      </c>
      <c r="O130" t="str">
        <f t="shared" si="12"/>
        <v>cJSON_AddItemToObject(Uha, "VAR_TEMP_KIDROOM", cJSON_CreateNumber(mVars[VAR_TEMP_KIDROOM]));</v>
      </c>
      <c r="P130" t="str">
        <f t="shared" si="14"/>
        <v>cJSON_AddItemToObject(Uha, "VAR_TEMP_KIDROOM", cJSON_CreateNumber(mVars[126]));</v>
      </c>
    </row>
    <row r="131" spans="2:16">
      <c r="B131" s="40"/>
      <c r="C131" s="1">
        <v>127</v>
      </c>
      <c r="D131" s="1" t="str">
        <f t="shared" si="9"/>
        <v>007F</v>
      </c>
      <c r="E131" t="s">
        <v>166</v>
      </c>
      <c r="F131" t="s">
        <v>167</v>
      </c>
      <c r="G131">
        <v>0</v>
      </c>
      <c r="H131" t="str">
        <f t="shared" si="18"/>
        <v>#define  VAR_TEMP_OUTSIDE  127</v>
      </c>
      <c r="I131" t="str">
        <f t="shared" si="19"/>
        <v>public const byte VAR_TEMP_OUTSIDE = 127;</v>
      </c>
      <c r="K131" t="str">
        <f t="shared" si="17"/>
        <v>TEMP_AssignSensor(T304, VAR_TEMP_OUTSIDE, 0);</v>
      </c>
      <c r="L131" t="str">
        <f t="shared" si="13"/>
        <v>UpdateScanList(VAR_TEMP_OUTSIDE, 5000);</v>
      </c>
      <c r="N131" t="str">
        <f t="shared" si="20"/>
        <v>COM_AddStreamedVariable(VAR_TEMP_OUTSIDE, 1000);</v>
      </c>
      <c r="O131" t="str">
        <f t="shared" si="12"/>
        <v>cJSON_AddItemToObject(Uha, "VAR_TEMP_OUTSIDE", cJSON_CreateNumber(mVars[VAR_TEMP_OUTSIDE]));</v>
      </c>
      <c r="P131" t="str">
        <f t="shared" si="14"/>
        <v>cJSON_AddItemToObject(Uha, "VAR_TEMP_OUTSIDE", cJSON_CreateNumber(mVars[127]));</v>
      </c>
    </row>
    <row r="132" spans="2:16">
      <c r="B132" s="40"/>
      <c r="C132" s="1">
        <v>128</v>
      </c>
      <c r="D132" s="1" t="str">
        <f t="shared" ref="D132:D195" si="21">DEC2HEX(C132,4)</f>
        <v>0080</v>
      </c>
      <c r="E132" t="s">
        <v>295</v>
      </c>
      <c r="H132" t="str">
        <f t="shared" si="18"/>
        <v>#define  VAR_TEMP_RECU_FC  128</v>
      </c>
      <c r="I132" t="str">
        <f t="shared" si="19"/>
        <v>public const byte VAR_TEMP_RECU_FC = 128;</v>
      </c>
      <c r="L132" t="str">
        <f t="shared" si="13"/>
        <v>UpdateScanList(VAR_TEMP_RECU_FC, 5000);</v>
      </c>
      <c r="N132" t="str">
        <f t="shared" si="20"/>
        <v>COM_AddStreamedVariable(VAR_TEMP_RECU_FC, 1000);</v>
      </c>
      <c r="O132" t="str">
        <f t="shared" si="12"/>
        <v>cJSON_AddItemToObject(Uha, "VAR_TEMP_RECU_FC", cJSON_CreateNumber(mVars[VAR_TEMP_RECU_FC]));</v>
      </c>
      <c r="P132" t="str">
        <f t="shared" si="14"/>
        <v>cJSON_AddItemToObject(Uha, "VAR_TEMP_RECU_FC", cJSON_CreateNumber(mVars[128]));</v>
      </c>
    </row>
    <row r="133" spans="2:16">
      <c r="B133" s="40"/>
      <c r="C133" s="1">
        <v>129</v>
      </c>
      <c r="D133" s="1" t="str">
        <f t="shared" si="21"/>
        <v>0081</v>
      </c>
      <c r="E133" t="s">
        <v>296</v>
      </c>
      <c r="H133" t="str">
        <f>CONCATENATE("#define  ",E133,"  ",C133)</f>
        <v>#define  VAR_TEMP_RECU_FH  129</v>
      </c>
      <c r="I133" t="str">
        <f>CONCATENATE("public const byte ",E133," = ",C133,";")</f>
        <v>public const byte VAR_TEMP_RECU_FH = 129;</v>
      </c>
      <c r="L133" t="str">
        <f t="shared" si="13"/>
        <v>UpdateScanList(VAR_TEMP_RECU_FH, 5000);</v>
      </c>
      <c r="N133" t="str">
        <f t="shared" si="20"/>
        <v>COM_AddStreamedVariable(VAR_TEMP_RECU_FH, 1000);</v>
      </c>
      <c r="O133" t="str">
        <f t="shared" si="12"/>
        <v>cJSON_AddItemToObject(Uha, "VAR_TEMP_RECU_FH", cJSON_CreateNumber(mVars[VAR_TEMP_RECU_FH]));</v>
      </c>
      <c r="P133" t="str">
        <f>CONCATENATE("cJSON_AddItemToObject(Uha, ","""",E133,"""",", cJSON_CreateNumber(mVars[",C133,"]));")</f>
        <v>cJSON_AddItemToObject(Uha, "VAR_TEMP_RECU_FH", cJSON_CreateNumber(mVars[129]));</v>
      </c>
    </row>
    <row r="134" spans="2:16">
      <c r="B134" s="40"/>
      <c r="C134" s="1">
        <v>130</v>
      </c>
      <c r="D134" s="1" t="str">
        <f t="shared" si="21"/>
        <v>0082</v>
      </c>
      <c r="E134" t="s">
        <v>297</v>
      </c>
      <c r="F134" t="s">
        <v>300</v>
      </c>
      <c r="H134" t="str">
        <f>CONCATENATE("#define  ",E134,"  ",C134)</f>
        <v>#define  VAR_TEMP_RECU_WH  130</v>
      </c>
      <c r="I134" t="str">
        <f>CONCATENATE("public const byte ",E134," = ",C134,";")</f>
        <v>public const byte VAR_TEMP_RECU_WH = 130;</v>
      </c>
      <c r="L134" t="str">
        <f t="shared" si="13"/>
        <v>UpdateScanList(VAR_TEMP_RECU_WH, 5000);</v>
      </c>
      <c r="N134" t="str">
        <f t="shared" si="20"/>
        <v>COM_AddStreamedVariable(VAR_TEMP_RECU_WH, 1000);</v>
      </c>
      <c r="O134" t="str">
        <f t="shared" si="12"/>
        <v>cJSON_AddItemToObject(Uha, "VAR_TEMP_RECU_WH", cJSON_CreateNumber(mVars[VAR_TEMP_RECU_WH]));</v>
      </c>
      <c r="P134" t="str">
        <f>CONCATENATE("cJSON_AddItemToObject(Uha, ","""",E134,"""",", cJSON_CreateNumber(mVars[",C134,"]));")</f>
        <v>cJSON_AddItemToObject(Uha, "VAR_TEMP_RECU_WH", cJSON_CreateNumber(mVars[130]));</v>
      </c>
    </row>
    <row r="135" spans="2:16">
      <c r="B135" s="40"/>
      <c r="C135" s="1">
        <v>131</v>
      </c>
      <c r="D135" s="1" t="str">
        <f t="shared" si="21"/>
        <v>0083</v>
      </c>
      <c r="E135" t="s">
        <v>298</v>
      </c>
      <c r="F135" t="s">
        <v>299</v>
      </c>
      <c r="H135" t="str">
        <f>CONCATENATE("#define  ",E135,"  ",C135)</f>
        <v>#define  VAR_TEMP_RECU_WC  131</v>
      </c>
      <c r="I135" t="str">
        <f>CONCATENATE("public const byte ",E135," = ",C135,";")</f>
        <v>public const byte VAR_TEMP_RECU_WC = 131;</v>
      </c>
      <c r="L135" t="str">
        <f t="shared" si="13"/>
        <v>UpdateScanList(VAR_TEMP_RECU_WC, 5000);</v>
      </c>
      <c r="N135" t="str">
        <f t="shared" si="20"/>
        <v>COM_AddStreamedVariable(VAR_TEMP_RECU_WC, 1000);</v>
      </c>
      <c r="O135" t="str">
        <f t="shared" si="12"/>
        <v>cJSON_AddItemToObject(Uha, "VAR_TEMP_RECU_WC", cJSON_CreateNumber(mVars[VAR_TEMP_RECU_WC]));</v>
      </c>
      <c r="P135" t="str">
        <f>CONCATENATE("cJSON_AddItemToObject(Uha, ","""",E135,"""",", cJSON_CreateNumber(mVars[",C135,"]));")</f>
        <v>cJSON_AddItemToObject(Uha, "VAR_TEMP_RECU_WC", cJSON_CreateNumber(mVars[131]));</v>
      </c>
    </row>
    <row r="136" spans="2:16">
      <c r="B136" s="40"/>
      <c r="C136" s="1">
        <v>132</v>
      </c>
      <c r="D136" s="1" t="str">
        <f t="shared" si="21"/>
        <v>0084</v>
      </c>
      <c r="E136" t="s">
        <v>301</v>
      </c>
      <c r="H136" t="str">
        <f>CONCATENATE("#define  ",E136,"  ",C136)</f>
        <v>#define  VAR_RH_RECU_FH  132</v>
      </c>
      <c r="I136" t="str">
        <f>CONCATENATE("public const byte ",E136," = ",C136,";")</f>
        <v>public const byte VAR_RH_RECU_FH = 132;</v>
      </c>
      <c r="L136" t="str">
        <f t="shared" si="13"/>
        <v>UpdateScanList(VAR_RH_RECU_FH, 5000);</v>
      </c>
      <c r="N136" t="str">
        <f t="shared" si="20"/>
        <v>COM_AddStreamedVariable(VAR_RH_RECU_FH, 1000);</v>
      </c>
      <c r="O136" t="str">
        <f t="shared" si="12"/>
        <v>cJSON_AddItemToObject(Uha, "VAR_RH_RECU_FH", cJSON_CreateNumber(mVars[VAR_RH_RECU_FH]));</v>
      </c>
      <c r="P136" t="str">
        <f>CONCATENATE("cJSON_AddItemToObject(Uha, ","""",E136,"""",", cJSON_CreateNumber(mVars[",C136,"]));")</f>
        <v>cJSON_AddItemToObject(Uha, "VAR_RH_RECU_FH", cJSON_CreateNumber(mVars[132]));</v>
      </c>
    </row>
    <row r="137" spans="2:16">
      <c r="B137" s="40"/>
      <c r="C137" s="1">
        <v>133</v>
      </c>
      <c r="D137" s="1" t="str">
        <f t="shared" si="21"/>
        <v>0085</v>
      </c>
      <c r="E137" t="s">
        <v>302</v>
      </c>
      <c r="H137" t="str">
        <f>CONCATENATE("#define  ",E137,"  ",C137)</f>
        <v>#define  VAR_RH_RECU_WH  133</v>
      </c>
      <c r="I137" t="str">
        <f>CONCATENATE("public const byte ",E137," = ",C137,";")</f>
        <v>public const byte VAR_RH_RECU_WH = 133;</v>
      </c>
      <c r="L137" t="str">
        <f t="shared" si="13"/>
        <v>UpdateScanList(VAR_RH_RECU_WH, 5000);</v>
      </c>
      <c r="N137" t="str">
        <f t="shared" si="20"/>
        <v>COM_AddStreamedVariable(VAR_RH_RECU_WH, 1000);</v>
      </c>
      <c r="O137" t="str">
        <f t="shared" si="12"/>
        <v>cJSON_AddItemToObject(Uha, "VAR_RH_RECU_WH", cJSON_CreateNumber(mVars[VAR_RH_RECU_WH]));</v>
      </c>
      <c r="P137" t="str">
        <f>CONCATENATE("cJSON_AddItemToObject(Uha, ","""",E137,"""",", cJSON_CreateNumber(mVars[",C137,"]));")</f>
        <v>cJSON_AddItemToObject(Uha, "VAR_RH_RECU_WH", cJSON_CreateNumber(mVars[133]));</v>
      </c>
    </row>
    <row r="138" spans="2:16">
      <c r="B138" s="40"/>
      <c r="C138" s="1">
        <v>134</v>
      </c>
      <c r="D138" s="1" t="str">
        <f t="shared" si="21"/>
        <v>0086</v>
      </c>
      <c r="L138" t="str">
        <f t="shared" si="13"/>
        <v>UpdateScanList(, 5000);</v>
      </c>
      <c r="O138" t="str">
        <f t="shared" si="12"/>
        <v/>
      </c>
    </row>
    <row r="139" spans="2:16">
      <c r="B139" s="40"/>
      <c r="C139" s="1">
        <v>135</v>
      </c>
      <c r="D139" s="1" t="str">
        <f t="shared" si="21"/>
        <v>0087</v>
      </c>
      <c r="L139" t="str">
        <f t="shared" si="13"/>
        <v>UpdateScanList(, 5000);</v>
      </c>
      <c r="O139" t="str">
        <f t="shared" si="12"/>
        <v/>
      </c>
    </row>
    <row r="140" spans="2:16">
      <c r="B140" s="40"/>
      <c r="C140" s="1">
        <v>136</v>
      </c>
      <c r="D140" s="1" t="str">
        <f t="shared" si="21"/>
        <v>0088</v>
      </c>
      <c r="L140" t="str">
        <f t="shared" si="13"/>
        <v>UpdateScanList(, 5000);</v>
      </c>
      <c r="O140" t="str">
        <f t="shared" si="12"/>
        <v/>
      </c>
    </row>
    <row r="141" spans="2:16">
      <c r="B141" s="40"/>
      <c r="C141" s="1">
        <v>137</v>
      </c>
      <c r="D141" s="1" t="str">
        <f t="shared" si="21"/>
        <v>0089</v>
      </c>
      <c r="E141" t="s">
        <v>303</v>
      </c>
      <c r="H141" t="str">
        <f t="shared" ref="H141:H146" si="22">CONCATENATE("#define  ",E141,"  ",C141)</f>
        <v>#define  VAR_CO2_RECU  137</v>
      </c>
      <c r="I141" t="str">
        <f t="shared" ref="I141:I146" si="23">CONCATENATE("public const byte ",E141," = ",C141,";")</f>
        <v>public const byte VAR_CO2_RECU = 137;</v>
      </c>
      <c r="L141" t="str">
        <f t="shared" si="13"/>
        <v>UpdateScanList(VAR_CO2_RECU, 5000);</v>
      </c>
      <c r="N141" t="str">
        <f t="shared" ref="N141:N146" si="24">CONCATENATE("COM_AddStreamedVariable(",E141, ", 1000);")</f>
        <v>COM_AddStreamedVariable(VAR_CO2_RECU, 1000);</v>
      </c>
      <c r="O141" t="str">
        <f t="shared" ref="O141:O204" si="25">IF(ISBLANK(E141),"",CONCATENATE("cJSON_AddItemToObject(Uha, ","""",E141,"""",", cJSON_CreateNumber(mVars[",E141,"]));"))</f>
        <v>cJSON_AddItemToObject(Uha, "VAR_CO2_RECU", cJSON_CreateNumber(mVars[VAR_CO2_RECU]));</v>
      </c>
      <c r="P141" t="str">
        <f t="shared" ref="P141:P146" si="26">CONCATENATE("cJSON_AddItemToObject(Uha, ","""",E141,"""",", cJSON_CreateNumber(mVars[",C141,"]));")</f>
        <v>cJSON_AddItemToObject(Uha, "VAR_CO2_RECU", cJSON_CreateNumber(mVars[137]));</v>
      </c>
    </row>
    <row r="142" spans="2:16">
      <c r="B142" s="40"/>
      <c r="C142" s="1">
        <v>138</v>
      </c>
      <c r="D142" s="1" t="str">
        <f t="shared" si="21"/>
        <v>008A</v>
      </c>
      <c r="E142" t="s">
        <v>304</v>
      </c>
      <c r="H142" t="str">
        <f t="shared" si="22"/>
        <v>#define  VAR_DP_RECU_F  138</v>
      </c>
      <c r="I142" t="str">
        <f t="shared" si="23"/>
        <v>public const byte VAR_DP_RECU_F = 138;</v>
      </c>
      <c r="L142" t="str">
        <f t="shared" si="13"/>
        <v>UpdateScanList(VAR_DP_RECU_F, 5000);</v>
      </c>
      <c r="N142" t="str">
        <f t="shared" si="24"/>
        <v>COM_AddStreamedVariable(VAR_DP_RECU_F, 1000);</v>
      </c>
      <c r="O142" t="str">
        <f t="shared" si="25"/>
        <v>cJSON_AddItemToObject(Uha, "VAR_DP_RECU_F", cJSON_CreateNumber(mVars[VAR_DP_RECU_F]));</v>
      </c>
      <c r="P142" t="str">
        <f t="shared" si="26"/>
        <v>cJSON_AddItemToObject(Uha, "VAR_DP_RECU_F", cJSON_CreateNumber(mVars[138]));</v>
      </c>
    </row>
    <row r="143" spans="2:16">
      <c r="B143" s="40"/>
      <c r="C143" s="1">
        <v>139</v>
      </c>
      <c r="D143" s="1" t="str">
        <f t="shared" si="21"/>
        <v>008B</v>
      </c>
      <c r="E143" t="s">
        <v>305</v>
      </c>
      <c r="H143" t="str">
        <f t="shared" si="22"/>
        <v>#define  VAR_DP_RECU_W  139</v>
      </c>
      <c r="I143" t="str">
        <f t="shared" si="23"/>
        <v>public const byte VAR_DP_RECU_W = 139;</v>
      </c>
      <c r="L143" t="str">
        <f t="shared" ref="L143:L206" si="27">CONCATENATE("UpdateScanList(",E143, ", 5000);")</f>
        <v>UpdateScanList(VAR_DP_RECU_W, 5000);</v>
      </c>
      <c r="N143" t="str">
        <f t="shared" si="24"/>
        <v>COM_AddStreamedVariable(VAR_DP_RECU_W, 1000);</v>
      </c>
      <c r="O143" t="str">
        <f t="shared" si="25"/>
        <v>cJSON_AddItemToObject(Uha, "VAR_DP_RECU_W", cJSON_CreateNumber(mVars[VAR_DP_RECU_W]));</v>
      </c>
      <c r="P143" t="str">
        <f t="shared" si="26"/>
        <v>cJSON_AddItemToObject(Uha, "VAR_DP_RECU_W", cJSON_CreateNumber(mVars[139]));</v>
      </c>
    </row>
    <row r="144" spans="2:16">
      <c r="B144" s="40"/>
      <c r="C144" s="1">
        <v>140</v>
      </c>
      <c r="D144" s="1" t="str">
        <f t="shared" si="21"/>
        <v>008C</v>
      </c>
      <c r="E144" t="s">
        <v>306</v>
      </c>
      <c r="H144" t="str">
        <f t="shared" si="22"/>
        <v>#define  VAR_RECU_FAN_F  140</v>
      </c>
      <c r="I144" t="str">
        <f t="shared" si="23"/>
        <v>public const byte VAR_RECU_FAN_F = 140;</v>
      </c>
      <c r="L144" t="str">
        <f t="shared" si="27"/>
        <v>UpdateScanList(VAR_RECU_FAN_F, 5000);</v>
      </c>
      <c r="N144" t="str">
        <f t="shared" si="24"/>
        <v>COM_AddStreamedVariable(VAR_RECU_FAN_F, 1000);</v>
      </c>
      <c r="O144" t="str">
        <f t="shared" si="25"/>
        <v>cJSON_AddItemToObject(Uha, "VAR_RECU_FAN_F", cJSON_CreateNumber(mVars[VAR_RECU_FAN_F]));</v>
      </c>
      <c r="P144" t="str">
        <f t="shared" si="26"/>
        <v>cJSON_AddItemToObject(Uha, "VAR_RECU_FAN_F", cJSON_CreateNumber(mVars[140]));</v>
      </c>
    </row>
    <row r="145" spans="2:16">
      <c r="B145" s="40"/>
      <c r="C145" s="1">
        <v>141</v>
      </c>
      <c r="D145" s="1" t="str">
        <f t="shared" si="21"/>
        <v>008D</v>
      </c>
      <c r="E145" t="s">
        <v>307</v>
      </c>
      <c r="H145" t="str">
        <f t="shared" si="22"/>
        <v>#define  VAR_RECU_FAN_W  141</v>
      </c>
      <c r="I145" t="str">
        <f t="shared" si="23"/>
        <v>public const byte VAR_RECU_FAN_W = 141;</v>
      </c>
      <c r="L145" t="str">
        <f t="shared" si="27"/>
        <v>UpdateScanList(VAR_RECU_FAN_W, 5000);</v>
      </c>
      <c r="N145" t="str">
        <f t="shared" si="24"/>
        <v>COM_AddStreamedVariable(VAR_RECU_FAN_W, 1000);</v>
      </c>
      <c r="O145" t="str">
        <f t="shared" si="25"/>
        <v>cJSON_AddItemToObject(Uha, "VAR_RECU_FAN_W", cJSON_CreateNumber(mVars[VAR_RECU_FAN_W]));</v>
      </c>
      <c r="P145" t="str">
        <f t="shared" si="26"/>
        <v>cJSON_AddItemToObject(Uha, "VAR_RECU_FAN_W", cJSON_CreateNumber(mVars[141]));</v>
      </c>
    </row>
    <row r="146" spans="2:16">
      <c r="B146" s="40"/>
      <c r="C146" s="1">
        <v>142</v>
      </c>
      <c r="D146" s="1" t="str">
        <f t="shared" si="21"/>
        <v>008E</v>
      </c>
      <c r="E146" t="s">
        <v>308</v>
      </c>
      <c r="H146" t="str">
        <f t="shared" si="22"/>
        <v>#define  VAR_CURR_RECU_A  142</v>
      </c>
      <c r="I146" t="str">
        <f t="shared" si="23"/>
        <v>public const byte VAR_CURR_RECU_A = 142;</v>
      </c>
      <c r="L146" t="str">
        <f t="shared" si="27"/>
        <v>UpdateScanList(VAR_CURR_RECU_A, 5000);</v>
      </c>
      <c r="N146" t="str">
        <f t="shared" si="24"/>
        <v>COM_AddStreamedVariable(VAR_CURR_RECU_A, 1000);</v>
      </c>
      <c r="O146" t="str">
        <f t="shared" si="25"/>
        <v>cJSON_AddItemToObject(Uha, "VAR_CURR_RECU_A", cJSON_CreateNumber(mVars[VAR_CURR_RECU_A]));</v>
      </c>
      <c r="P146" t="str">
        <f t="shared" si="26"/>
        <v>cJSON_AddItemToObject(Uha, "VAR_CURR_RECU_A", cJSON_CreateNumber(mVars[142]));</v>
      </c>
    </row>
    <row r="147" spans="2:16">
      <c r="B147" s="40"/>
      <c r="C147" s="1">
        <v>143</v>
      </c>
      <c r="D147" s="1" t="str">
        <f t="shared" si="21"/>
        <v>008F</v>
      </c>
      <c r="H147" t="str">
        <f t="shared" ref="H147:H183" si="28">CONCATENATE("#define  ",E147,"  ",C147)</f>
        <v>#define    143</v>
      </c>
      <c r="I147" t="str">
        <f t="shared" ref="I147:I183" si="29">CONCATENATE("public const byte ",E147," = ",C147,";")</f>
        <v>public const byte  = 143;</v>
      </c>
      <c r="L147" t="str">
        <f t="shared" si="27"/>
        <v>UpdateScanList(, 5000);</v>
      </c>
      <c r="N147" t="str">
        <f t="shared" ref="N147:N183" si="30">CONCATENATE("COM_AddStreamedVariable(",E147, ", 1000);")</f>
        <v>COM_AddStreamedVariable(, 1000);</v>
      </c>
      <c r="O147" t="str">
        <f t="shared" si="25"/>
        <v/>
      </c>
      <c r="P147" t="str">
        <f t="shared" ref="P147:P183" si="31">CONCATENATE("cJSON_AddItemToObject(Uha, ","""",E147,"""",", cJSON_CreateNumber(mVars[",C147,"]));")</f>
        <v>cJSON_AddItemToObject(Uha, "", cJSON_CreateNumber(mVars[143]));</v>
      </c>
    </row>
    <row r="148" spans="2:16">
      <c r="B148" s="40"/>
      <c r="C148" s="1">
        <v>144</v>
      </c>
      <c r="D148" s="1" t="str">
        <f t="shared" si="21"/>
        <v>0090</v>
      </c>
      <c r="E148" s="25" t="s">
        <v>347</v>
      </c>
      <c r="F148" t="s">
        <v>349</v>
      </c>
      <c r="H148" t="str">
        <f t="shared" si="28"/>
        <v>#define  VAR_TEMP_DILNA  144</v>
      </c>
      <c r="I148" t="str">
        <f t="shared" si="29"/>
        <v>public const byte VAR_TEMP_DILNA = 144;</v>
      </c>
      <c r="L148" t="str">
        <f t="shared" si="27"/>
        <v>UpdateScanList(VAR_TEMP_DILNA, 5000);</v>
      </c>
      <c r="N148" t="str">
        <f t="shared" si="30"/>
        <v>COM_AddStreamedVariable(VAR_TEMP_DILNA, 1000);</v>
      </c>
      <c r="O148" t="str">
        <f t="shared" si="25"/>
        <v>cJSON_AddItemToObject(Uha, "VAR_TEMP_DILNA", cJSON_CreateNumber(mVars[VAR_TEMP_DILNA]));</v>
      </c>
      <c r="P148" t="str">
        <f t="shared" si="31"/>
        <v>cJSON_AddItemToObject(Uha, "VAR_TEMP_DILNA", cJSON_CreateNumber(mVars[144]));</v>
      </c>
    </row>
    <row r="149" spans="2:16">
      <c r="B149" s="40"/>
      <c r="C149" s="1">
        <v>145</v>
      </c>
      <c r="D149" s="1" t="str">
        <f t="shared" si="21"/>
        <v>0091</v>
      </c>
      <c r="E149" s="25" t="s">
        <v>348</v>
      </c>
      <c r="F149" t="s">
        <v>350</v>
      </c>
      <c r="H149" t="str">
        <f t="shared" si="28"/>
        <v>#define  VAR_TEMP_AKUPACK1  145</v>
      </c>
      <c r="I149" t="str">
        <f t="shared" si="29"/>
        <v>public const byte VAR_TEMP_AKUPACK1 = 145;</v>
      </c>
      <c r="L149" t="str">
        <f t="shared" si="27"/>
        <v>UpdateScanList(VAR_TEMP_AKUPACK1, 5000);</v>
      </c>
      <c r="N149" t="str">
        <f t="shared" si="30"/>
        <v>COM_AddStreamedVariable(VAR_TEMP_AKUPACK1, 1000);</v>
      </c>
      <c r="O149" t="str">
        <f t="shared" si="25"/>
        <v>cJSON_AddItemToObject(Uha, "VAR_TEMP_AKUPACK1", cJSON_CreateNumber(mVars[VAR_TEMP_AKUPACK1]));</v>
      </c>
      <c r="P149" t="str">
        <f t="shared" si="31"/>
        <v>cJSON_AddItemToObject(Uha, "VAR_TEMP_AKUPACK1", cJSON_CreateNumber(mVars[145]));</v>
      </c>
    </row>
    <row r="150" spans="2:16">
      <c r="B150" s="40"/>
      <c r="C150" s="1">
        <v>146</v>
      </c>
      <c r="D150" s="1" t="str">
        <f t="shared" si="21"/>
        <v>0092</v>
      </c>
      <c r="E150" s="25" t="s">
        <v>352</v>
      </c>
      <c r="F150" t="s">
        <v>351</v>
      </c>
      <c r="H150" t="str">
        <f t="shared" si="28"/>
        <v>#define  VAR_TEMP_BOARD_ELECON_D  146</v>
      </c>
      <c r="I150" t="str">
        <f t="shared" si="29"/>
        <v>public const byte VAR_TEMP_BOARD_ELECON_D = 146;</v>
      </c>
      <c r="L150" t="str">
        <f t="shared" si="27"/>
        <v>UpdateScanList(VAR_TEMP_BOARD_ELECON_D, 5000);</v>
      </c>
      <c r="N150" t="str">
        <f t="shared" si="30"/>
        <v>COM_AddStreamedVariable(VAR_TEMP_BOARD_ELECON_D, 1000);</v>
      </c>
      <c r="O150" t="str">
        <f t="shared" si="25"/>
        <v>cJSON_AddItemToObject(Uha, "VAR_TEMP_BOARD_ELECON_D", cJSON_CreateNumber(mVars[VAR_TEMP_BOARD_ELECON_D]));</v>
      </c>
      <c r="P150" t="str">
        <f t="shared" si="31"/>
        <v>cJSON_AddItemToObject(Uha, "VAR_TEMP_BOARD_ELECON_D", cJSON_CreateNumber(mVars[146]));</v>
      </c>
    </row>
    <row r="151" spans="2:16">
      <c r="B151" s="40"/>
      <c r="C151" s="1">
        <v>147</v>
      </c>
      <c r="D151" s="1" t="str">
        <f t="shared" si="21"/>
        <v>0093</v>
      </c>
      <c r="H151" t="str">
        <f t="shared" si="28"/>
        <v>#define    147</v>
      </c>
      <c r="I151" t="str">
        <f t="shared" si="29"/>
        <v>public const byte  = 147;</v>
      </c>
      <c r="L151" t="str">
        <f t="shared" si="27"/>
        <v>UpdateScanList(, 5000);</v>
      </c>
      <c r="N151" t="str">
        <f t="shared" si="30"/>
        <v>COM_AddStreamedVariable(, 1000);</v>
      </c>
      <c r="O151" t="str">
        <f t="shared" si="25"/>
        <v/>
      </c>
      <c r="P151" t="str">
        <f t="shared" si="31"/>
        <v>cJSON_AddItemToObject(Uha, "", cJSON_CreateNumber(mVars[147]));</v>
      </c>
    </row>
    <row r="152" spans="2:16">
      <c r="B152" s="40"/>
      <c r="C152" s="1">
        <v>148</v>
      </c>
      <c r="D152" s="1" t="str">
        <f t="shared" si="21"/>
        <v>0094</v>
      </c>
      <c r="H152" t="str">
        <f t="shared" si="28"/>
        <v>#define    148</v>
      </c>
      <c r="I152" t="str">
        <f t="shared" si="29"/>
        <v>public const byte  = 148;</v>
      </c>
      <c r="L152" t="str">
        <f t="shared" si="27"/>
        <v>UpdateScanList(, 5000);</v>
      </c>
      <c r="N152" t="str">
        <f t="shared" si="30"/>
        <v>COM_AddStreamedVariable(, 1000);</v>
      </c>
      <c r="O152" t="str">
        <f t="shared" si="25"/>
        <v/>
      </c>
      <c r="P152" t="str">
        <f t="shared" si="31"/>
        <v>cJSON_AddItemToObject(Uha, "", cJSON_CreateNumber(mVars[148]));</v>
      </c>
    </row>
    <row r="153" spans="2:16">
      <c r="B153" s="40"/>
      <c r="C153" s="1">
        <v>149</v>
      </c>
      <c r="D153" s="1" t="str">
        <f t="shared" si="21"/>
        <v>0095</v>
      </c>
      <c r="H153" t="str">
        <f t="shared" si="28"/>
        <v>#define    149</v>
      </c>
      <c r="I153" t="str">
        <f t="shared" si="29"/>
        <v>public const byte  = 149;</v>
      </c>
      <c r="L153" t="str">
        <f t="shared" si="27"/>
        <v>UpdateScanList(, 5000);</v>
      </c>
      <c r="N153" t="str">
        <f t="shared" si="30"/>
        <v>COM_AddStreamedVariable(, 1000);</v>
      </c>
      <c r="O153" t="str">
        <f t="shared" si="25"/>
        <v/>
      </c>
      <c r="P153" t="str">
        <f t="shared" si="31"/>
        <v>cJSON_AddItemToObject(Uha, "", cJSON_CreateNumber(mVars[149]));</v>
      </c>
    </row>
    <row r="154" spans="2:16">
      <c r="B154" s="40"/>
      <c r="C154" s="1">
        <v>150</v>
      </c>
      <c r="D154" s="1" t="str">
        <f t="shared" si="21"/>
        <v>0096</v>
      </c>
      <c r="H154" t="str">
        <f t="shared" si="28"/>
        <v>#define    150</v>
      </c>
      <c r="I154" t="str">
        <f t="shared" si="29"/>
        <v>public const byte  = 150;</v>
      </c>
      <c r="L154" t="str">
        <f t="shared" si="27"/>
        <v>UpdateScanList(, 5000);</v>
      </c>
      <c r="N154" t="str">
        <f t="shared" si="30"/>
        <v>COM_AddStreamedVariable(, 1000);</v>
      </c>
      <c r="O154" t="str">
        <f t="shared" si="25"/>
        <v/>
      </c>
      <c r="P154" t="str">
        <f t="shared" si="31"/>
        <v>cJSON_AddItemToObject(Uha, "", cJSON_CreateNumber(mVars[150]));</v>
      </c>
    </row>
    <row r="155" spans="2:16">
      <c r="B155" s="40"/>
      <c r="C155" s="1">
        <v>151</v>
      </c>
      <c r="D155" s="1" t="str">
        <f t="shared" si="21"/>
        <v>0097</v>
      </c>
      <c r="H155" t="str">
        <f t="shared" si="28"/>
        <v>#define    151</v>
      </c>
      <c r="I155" t="str">
        <f t="shared" si="29"/>
        <v>public const byte  = 151;</v>
      </c>
      <c r="L155" t="str">
        <f t="shared" si="27"/>
        <v>UpdateScanList(, 5000);</v>
      </c>
      <c r="N155" t="str">
        <f t="shared" si="30"/>
        <v>COM_AddStreamedVariable(, 1000);</v>
      </c>
      <c r="O155" t="str">
        <f t="shared" si="25"/>
        <v/>
      </c>
      <c r="P155" t="str">
        <f t="shared" si="31"/>
        <v>cJSON_AddItemToObject(Uha, "", cJSON_CreateNumber(mVars[151]));</v>
      </c>
    </row>
    <row r="156" spans="2:16">
      <c r="B156" s="40"/>
      <c r="C156" s="1">
        <v>152</v>
      </c>
      <c r="D156" s="1" t="str">
        <f t="shared" si="21"/>
        <v>0098</v>
      </c>
      <c r="H156" t="str">
        <f t="shared" si="28"/>
        <v>#define    152</v>
      </c>
      <c r="I156" t="str">
        <f t="shared" si="29"/>
        <v>public const byte  = 152;</v>
      </c>
      <c r="L156" t="str">
        <f t="shared" si="27"/>
        <v>UpdateScanList(, 5000);</v>
      </c>
      <c r="N156" t="str">
        <f t="shared" si="30"/>
        <v>COM_AddStreamedVariable(, 1000);</v>
      </c>
      <c r="O156" t="str">
        <f t="shared" si="25"/>
        <v/>
      </c>
      <c r="P156" t="str">
        <f t="shared" si="31"/>
        <v>cJSON_AddItemToObject(Uha, "", cJSON_CreateNumber(mVars[152]));</v>
      </c>
    </row>
    <row r="157" spans="2:16">
      <c r="B157" s="40"/>
      <c r="C157" s="1">
        <v>153</v>
      </c>
      <c r="D157" s="1" t="str">
        <f t="shared" si="21"/>
        <v>0099</v>
      </c>
      <c r="H157" t="str">
        <f t="shared" si="28"/>
        <v>#define    153</v>
      </c>
      <c r="I157" t="str">
        <f t="shared" si="29"/>
        <v>public const byte  = 153;</v>
      </c>
      <c r="L157" t="str">
        <f t="shared" si="27"/>
        <v>UpdateScanList(, 5000);</v>
      </c>
      <c r="N157" t="str">
        <f t="shared" si="30"/>
        <v>COM_AddStreamedVariable(, 1000);</v>
      </c>
      <c r="O157" t="str">
        <f t="shared" si="25"/>
        <v/>
      </c>
      <c r="P157" t="str">
        <f t="shared" si="31"/>
        <v>cJSON_AddItemToObject(Uha, "", cJSON_CreateNumber(mVars[153]));</v>
      </c>
    </row>
    <row r="158" spans="2:16">
      <c r="B158" s="40"/>
      <c r="C158" s="1">
        <v>154</v>
      </c>
      <c r="D158" s="1" t="str">
        <f t="shared" si="21"/>
        <v>009A</v>
      </c>
      <c r="H158" t="str">
        <f t="shared" si="28"/>
        <v>#define    154</v>
      </c>
      <c r="I158" t="str">
        <f t="shared" si="29"/>
        <v>public const byte  = 154;</v>
      </c>
      <c r="L158" t="str">
        <f t="shared" si="27"/>
        <v>UpdateScanList(, 5000);</v>
      </c>
      <c r="N158" t="str">
        <f t="shared" si="30"/>
        <v>COM_AddStreamedVariable(, 1000);</v>
      </c>
      <c r="O158" t="str">
        <f t="shared" si="25"/>
        <v/>
      </c>
      <c r="P158" t="str">
        <f t="shared" si="31"/>
        <v>cJSON_AddItemToObject(Uha, "", cJSON_CreateNumber(mVars[154]));</v>
      </c>
    </row>
    <row r="159" spans="2:16">
      <c r="B159" s="40"/>
      <c r="C159" s="1">
        <v>155</v>
      </c>
      <c r="D159" s="1" t="str">
        <f t="shared" si="21"/>
        <v>009B</v>
      </c>
      <c r="H159" t="str">
        <f t="shared" si="28"/>
        <v>#define    155</v>
      </c>
      <c r="I159" t="str">
        <f t="shared" si="29"/>
        <v>public const byte  = 155;</v>
      </c>
      <c r="L159" t="str">
        <f t="shared" si="27"/>
        <v>UpdateScanList(, 5000);</v>
      </c>
      <c r="N159" t="str">
        <f t="shared" si="30"/>
        <v>COM_AddStreamedVariable(, 1000);</v>
      </c>
      <c r="O159" t="str">
        <f t="shared" si="25"/>
        <v/>
      </c>
      <c r="P159" t="str">
        <f t="shared" si="31"/>
        <v>cJSON_AddItemToObject(Uha, "", cJSON_CreateNumber(mVars[155]));</v>
      </c>
    </row>
    <row r="160" spans="2:16">
      <c r="B160" s="40"/>
      <c r="C160" s="1">
        <v>156</v>
      </c>
      <c r="D160" s="1" t="str">
        <f t="shared" si="21"/>
        <v>009C</v>
      </c>
      <c r="H160" t="str">
        <f t="shared" si="28"/>
        <v>#define    156</v>
      </c>
      <c r="I160" t="str">
        <f t="shared" si="29"/>
        <v>public const byte  = 156;</v>
      </c>
      <c r="L160" t="str">
        <f t="shared" si="27"/>
        <v>UpdateScanList(, 5000);</v>
      </c>
      <c r="N160" t="str">
        <f t="shared" si="30"/>
        <v>COM_AddStreamedVariable(, 1000);</v>
      </c>
      <c r="O160" t="str">
        <f t="shared" si="25"/>
        <v/>
      </c>
      <c r="P160" t="str">
        <f t="shared" si="31"/>
        <v>cJSON_AddItemToObject(Uha, "", cJSON_CreateNumber(mVars[156]));</v>
      </c>
    </row>
    <row r="161" spans="2:16">
      <c r="B161" s="40"/>
      <c r="C161" s="1">
        <v>157</v>
      </c>
      <c r="D161" s="1" t="str">
        <f t="shared" si="21"/>
        <v>009D</v>
      </c>
      <c r="H161" t="str">
        <f t="shared" si="28"/>
        <v>#define    157</v>
      </c>
      <c r="I161" t="str">
        <f t="shared" si="29"/>
        <v>public const byte  = 157;</v>
      </c>
      <c r="L161" t="str">
        <f t="shared" si="27"/>
        <v>UpdateScanList(, 5000);</v>
      </c>
      <c r="N161" t="str">
        <f t="shared" si="30"/>
        <v>COM_AddStreamedVariable(, 1000);</v>
      </c>
      <c r="O161" t="str">
        <f t="shared" si="25"/>
        <v/>
      </c>
      <c r="P161" t="str">
        <f t="shared" si="31"/>
        <v>cJSON_AddItemToObject(Uha, "", cJSON_CreateNumber(mVars[157]));</v>
      </c>
    </row>
    <row r="162" spans="2:16">
      <c r="B162" s="40"/>
      <c r="C162" s="1">
        <v>158</v>
      </c>
      <c r="D162" s="1" t="str">
        <f t="shared" si="21"/>
        <v>009E</v>
      </c>
      <c r="H162" t="str">
        <f t="shared" si="28"/>
        <v>#define    158</v>
      </c>
      <c r="I162" t="str">
        <f t="shared" si="29"/>
        <v>public const byte  = 158;</v>
      </c>
      <c r="L162" t="str">
        <f t="shared" si="27"/>
        <v>UpdateScanList(, 5000);</v>
      </c>
      <c r="N162" t="str">
        <f t="shared" si="30"/>
        <v>COM_AddStreamedVariable(, 1000);</v>
      </c>
      <c r="O162" t="str">
        <f t="shared" si="25"/>
        <v/>
      </c>
      <c r="P162" t="str">
        <f t="shared" si="31"/>
        <v>cJSON_AddItemToObject(Uha, "", cJSON_CreateNumber(mVars[158]));</v>
      </c>
    </row>
    <row r="163" spans="2:16">
      <c r="B163" s="40"/>
      <c r="C163" s="1">
        <v>159</v>
      </c>
      <c r="D163" s="1" t="str">
        <f t="shared" si="21"/>
        <v>009F</v>
      </c>
      <c r="H163" t="str">
        <f t="shared" si="28"/>
        <v>#define    159</v>
      </c>
      <c r="I163" t="str">
        <f t="shared" si="29"/>
        <v>public const byte  = 159;</v>
      </c>
      <c r="L163" t="str">
        <f t="shared" si="27"/>
        <v>UpdateScanList(, 5000);</v>
      </c>
      <c r="N163" t="str">
        <f t="shared" si="30"/>
        <v>COM_AddStreamedVariable(, 1000);</v>
      </c>
      <c r="O163" t="str">
        <f t="shared" si="25"/>
        <v/>
      </c>
      <c r="P163" t="str">
        <f t="shared" si="31"/>
        <v>cJSON_AddItemToObject(Uha, "", cJSON_CreateNumber(mVars[159]));</v>
      </c>
    </row>
    <row r="164" spans="2:16">
      <c r="B164" s="40"/>
      <c r="C164" s="1">
        <v>160</v>
      </c>
      <c r="D164" s="1" t="str">
        <f t="shared" si="21"/>
        <v>00A0</v>
      </c>
      <c r="H164" t="str">
        <f t="shared" si="28"/>
        <v>#define    160</v>
      </c>
      <c r="I164" t="str">
        <f t="shared" si="29"/>
        <v>public const byte  = 160;</v>
      </c>
      <c r="L164" t="str">
        <f t="shared" si="27"/>
        <v>UpdateScanList(, 5000);</v>
      </c>
      <c r="N164" t="str">
        <f t="shared" si="30"/>
        <v>COM_AddStreamedVariable(, 1000);</v>
      </c>
      <c r="O164" t="str">
        <f t="shared" si="25"/>
        <v/>
      </c>
      <c r="P164" t="str">
        <f t="shared" si="31"/>
        <v>cJSON_AddItemToObject(Uha, "", cJSON_CreateNumber(mVars[160]));</v>
      </c>
    </row>
    <row r="165" spans="2:16">
      <c r="C165" s="1">
        <v>161</v>
      </c>
      <c r="D165" s="1" t="str">
        <f t="shared" si="21"/>
        <v>00A1</v>
      </c>
      <c r="E165" t="s">
        <v>291</v>
      </c>
      <c r="H165" t="str">
        <f t="shared" si="28"/>
        <v>#define  VAR_METEO_WIND_BURST  161</v>
      </c>
      <c r="I165" t="str">
        <f t="shared" si="29"/>
        <v>public const byte VAR_METEO_WIND_BURST = 161;</v>
      </c>
      <c r="L165" t="str">
        <f t="shared" si="27"/>
        <v>UpdateScanList(VAR_METEO_WIND_BURST, 5000);</v>
      </c>
      <c r="N165" t="str">
        <f t="shared" si="30"/>
        <v>COM_AddStreamedVariable(VAR_METEO_WIND_BURST, 1000);</v>
      </c>
      <c r="O165" t="str">
        <f t="shared" si="25"/>
        <v>cJSON_AddItemToObject(Uha, "VAR_METEO_WIND_BURST", cJSON_CreateNumber(mVars[VAR_METEO_WIND_BURST]));</v>
      </c>
      <c r="P165" t="str">
        <f t="shared" si="31"/>
        <v>cJSON_AddItemToObject(Uha, "VAR_METEO_WIND_BURST", cJSON_CreateNumber(mVars[161]));</v>
      </c>
    </row>
    <row r="166" spans="2:16">
      <c r="C166" s="1">
        <v>162</v>
      </c>
      <c r="D166" s="1" t="str">
        <f t="shared" si="21"/>
        <v>00A2</v>
      </c>
      <c r="E166" t="s">
        <v>292</v>
      </c>
      <c r="H166" t="str">
        <f t="shared" si="28"/>
        <v>#define  VAR_METEO_WIND_AVG  162</v>
      </c>
      <c r="I166" t="str">
        <f t="shared" si="29"/>
        <v>public const byte VAR_METEO_WIND_AVG = 162;</v>
      </c>
      <c r="L166" t="str">
        <f t="shared" si="27"/>
        <v>UpdateScanList(VAR_METEO_WIND_AVG, 5000);</v>
      </c>
      <c r="N166" t="str">
        <f t="shared" si="30"/>
        <v>COM_AddStreamedVariable(VAR_METEO_WIND_AVG, 1000);</v>
      </c>
      <c r="O166" t="str">
        <f t="shared" si="25"/>
        <v>cJSON_AddItemToObject(Uha, "VAR_METEO_WIND_AVG", cJSON_CreateNumber(mVars[VAR_METEO_WIND_AVG]));</v>
      </c>
      <c r="P166" t="str">
        <f t="shared" si="31"/>
        <v>cJSON_AddItemToObject(Uha, "VAR_METEO_WIND_AVG", cJSON_CreateNumber(mVars[162]));</v>
      </c>
    </row>
    <row r="167" spans="2:16">
      <c r="C167" s="1">
        <v>163</v>
      </c>
      <c r="D167" s="1" t="str">
        <f t="shared" si="21"/>
        <v>00A3</v>
      </c>
      <c r="E167" t="s">
        <v>293</v>
      </c>
      <c r="H167" t="str">
        <f t="shared" si="28"/>
        <v>#define  VAR_METEO_WIND_POW  163</v>
      </c>
      <c r="I167" t="str">
        <f t="shared" si="29"/>
        <v>public const byte VAR_METEO_WIND_POW = 163;</v>
      </c>
      <c r="L167" t="str">
        <f t="shared" si="27"/>
        <v>UpdateScanList(VAR_METEO_WIND_POW, 5000);</v>
      </c>
      <c r="N167" t="str">
        <f t="shared" si="30"/>
        <v>COM_AddStreamedVariable(VAR_METEO_WIND_POW, 1000);</v>
      </c>
      <c r="O167" t="str">
        <f t="shared" si="25"/>
        <v>cJSON_AddItemToObject(Uha, "VAR_METEO_WIND_POW", cJSON_CreateNumber(mVars[VAR_METEO_WIND_POW]));</v>
      </c>
      <c r="P167" t="str">
        <f t="shared" si="31"/>
        <v>cJSON_AddItemToObject(Uha, "VAR_METEO_WIND_POW", cJSON_CreateNumber(mVars[163]));</v>
      </c>
    </row>
    <row r="168" spans="2:16">
      <c r="C168" s="1">
        <v>164</v>
      </c>
      <c r="D168" s="1" t="str">
        <f t="shared" si="21"/>
        <v>00A4</v>
      </c>
      <c r="E168" t="s">
        <v>294</v>
      </c>
      <c r="H168" t="str">
        <f t="shared" si="28"/>
        <v>#define  VAR_METEO_WIND_ENERGY  164</v>
      </c>
      <c r="I168" t="str">
        <f t="shared" si="29"/>
        <v>public const byte VAR_METEO_WIND_ENERGY = 164;</v>
      </c>
      <c r="L168" t="str">
        <f t="shared" si="27"/>
        <v>UpdateScanList(VAR_METEO_WIND_ENERGY, 5000);</v>
      </c>
      <c r="N168" t="str">
        <f t="shared" si="30"/>
        <v>COM_AddStreamedVariable(VAR_METEO_WIND_ENERGY, 1000);</v>
      </c>
      <c r="O168" t="str">
        <f t="shared" si="25"/>
        <v>cJSON_AddItemToObject(Uha, "VAR_METEO_WIND_ENERGY", cJSON_CreateNumber(mVars[VAR_METEO_WIND_ENERGY]));</v>
      </c>
      <c r="P168" t="str">
        <f t="shared" si="31"/>
        <v>cJSON_AddItemToObject(Uha, "VAR_METEO_WIND_ENERGY", cJSON_CreateNumber(mVars[164]));</v>
      </c>
    </row>
    <row r="169" spans="2:16">
      <c r="C169" s="1">
        <v>165</v>
      </c>
      <c r="D169" s="1" t="str">
        <f t="shared" si="21"/>
        <v>00A5</v>
      </c>
      <c r="H169" t="str">
        <f t="shared" si="28"/>
        <v>#define    165</v>
      </c>
      <c r="I169" t="str">
        <f t="shared" si="29"/>
        <v>public const byte  = 165;</v>
      </c>
      <c r="L169" t="str">
        <f t="shared" si="27"/>
        <v>UpdateScanList(, 5000);</v>
      </c>
      <c r="N169" t="str">
        <f t="shared" si="30"/>
        <v>COM_AddStreamedVariable(, 1000);</v>
      </c>
      <c r="O169" t="str">
        <f t="shared" si="25"/>
        <v/>
      </c>
      <c r="P169" t="str">
        <f t="shared" si="31"/>
        <v>cJSON_AddItemToObject(Uha, "", cJSON_CreateNumber(mVars[165]));</v>
      </c>
    </row>
    <row r="170" spans="2:16">
      <c r="C170" s="1">
        <v>166</v>
      </c>
      <c r="D170" s="1" t="str">
        <f t="shared" si="21"/>
        <v>00A6</v>
      </c>
      <c r="H170" t="str">
        <f t="shared" si="28"/>
        <v>#define    166</v>
      </c>
      <c r="I170" t="str">
        <f t="shared" si="29"/>
        <v>public const byte  = 166;</v>
      </c>
      <c r="L170" t="str">
        <f t="shared" si="27"/>
        <v>UpdateScanList(, 5000);</v>
      </c>
      <c r="N170" t="str">
        <f t="shared" si="30"/>
        <v>COM_AddStreamedVariable(, 1000);</v>
      </c>
      <c r="O170" t="str">
        <f t="shared" si="25"/>
        <v/>
      </c>
      <c r="P170" t="str">
        <f t="shared" si="31"/>
        <v>cJSON_AddItemToObject(Uha, "", cJSON_CreateNumber(mVars[166]));</v>
      </c>
    </row>
    <row r="171" spans="2:16">
      <c r="C171" s="1">
        <v>167</v>
      </c>
      <c r="D171" s="1" t="str">
        <f t="shared" si="21"/>
        <v>00A7</v>
      </c>
      <c r="H171" t="str">
        <f t="shared" si="28"/>
        <v>#define    167</v>
      </c>
      <c r="I171" t="str">
        <f t="shared" si="29"/>
        <v>public const byte  = 167;</v>
      </c>
      <c r="L171" t="str">
        <f t="shared" si="27"/>
        <v>UpdateScanList(, 5000);</v>
      </c>
      <c r="N171" t="str">
        <f t="shared" si="30"/>
        <v>COM_AddStreamedVariable(, 1000);</v>
      </c>
      <c r="O171" t="str">
        <f t="shared" si="25"/>
        <v/>
      </c>
      <c r="P171" t="str">
        <f t="shared" si="31"/>
        <v>cJSON_AddItemToObject(Uha, "", cJSON_CreateNumber(mVars[167]));</v>
      </c>
    </row>
    <row r="172" spans="2:16">
      <c r="C172" s="1">
        <v>168</v>
      </c>
      <c r="D172" s="1" t="str">
        <f t="shared" si="21"/>
        <v>00A8</v>
      </c>
      <c r="H172" t="str">
        <f t="shared" si="28"/>
        <v>#define    168</v>
      </c>
      <c r="I172" t="str">
        <f t="shared" si="29"/>
        <v>public const byte  = 168;</v>
      </c>
      <c r="L172" t="str">
        <f t="shared" si="27"/>
        <v>UpdateScanList(, 5000);</v>
      </c>
      <c r="N172" t="str">
        <f t="shared" si="30"/>
        <v>COM_AddStreamedVariable(, 1000);</v>
      </c>
      <c r="O172" t="str">
        <f t="shared" si="25"/>
        <v/>
      </c>
      <c r="P172" t="str">
        <f t="shared" si="31"/>
        <v>cJSON_AddItemToObject(Uha, "", cJSON_CreateNumber(mVars[168]));</v>
      </c>
    </row>
    <row r="173" spans="2:16">
      <c r="C173" s="1">
        <v>169</v>
      </c>
      <c r="D173" s="1" t="str">
        <f t="shared" si="21"/>
        <v>00A9</v>
      </c>
      <c r="H173" t="str">
        <f t="shared" si="28"/>
        <v>#define    169</v>
      </c>
      <c r="I173" t="str">
        <f t="shared" si="29"/>
        <v>public const byte  = 169;</v>
      </c>
      <c r="L173" t="str">
        <f t="shared" si="27"/>
        <v>UpdateScanList(, 5000);</v>
      </c>
      <c r="N173" t="str">
        <f t="shared" si="30"/>
        <v>COM_AddStreamedVariable(, 1000);</v>
      </c>
      <c r="O173" t="str">
        <f t="shared" si="25"/>
        <v/>
      </c>
      <c r="P173" t="str">
        <f t="shared" si="31"/>
        <v>cJSON_AddItemToObject(Uha, "", cJSON_CreateNumber(mVars[169]));</v>
      </c>
    </row>
    <row r="174" spans="2:16">
      <c r="C174" s="1">
        <v>170</v>
      </c>
      <c r="D174" s="1" t="str">
        <f t="shared" si="21"/>
        <v>00AA</v>
      </c>
      <c r="H174" t="str">
        <f t="shared" si="28"/>
        <v>#define    170</v>
      </c>
      <c r="I174" t="str">
        <f t="shared" si="29"/>
        <v>public const byte  = 170;</v>
      </c>
      <c r="L174" t="str">
        <f t="shared" si="27"/>
        <v>UpdateScanList(, 5000);</v>
      </c>
      <c r="N174" t="str">
        <f t="shared" si="30"/>
        <v>COM_AddStreamedVariable(, 1000);</v>
      </c>
      <c r="O174" t="str">
        <f t="shared" si="25"/>
        <v/>
      </c>
      <c r="P174" t="str">
        <f t="shared" si="31"/>
        <v>cJSON_AddItemToObject(Uha, "", cJSON_CreateNumber(mVars[170]));</v>
      </c>
    </row>
    <row r="175" spans="2:16">
      <c r="C175" s="1">
        <v>171</v>
      </c>
      <c r="D175" s="1" t="str">
        <f t="shared" si="21"/>
        <v>00AB</v>
      </c>
      <c r="H175" t="str">
        <f t="shared" si="28"/>
        <v>#define    171</v>
      </c>
      <c r="I175" t="str">
        <f t="shared" si="29"/>
        <v>public const byte  = 171;</v>
      </c>
      <c r="L175" t="str">
        <f t="shared" si="27"/>
        <v>UpdateScanList(, 5000);</v>
      </c>
      <c r="N175" t="str">
        <f t="shared" si="30"/>
        <v>COM_AddStreamedVariable(, 1000);</v>
      </c>
      <c r="O175" t="str">
        <f t="shared" si="25"/>
        <v/>
      </c>
      <c r="P175" t="str">
        <f t="shared" si="31"/>
        <v>cJSON_AddItemToObject(Uha, "", cJSON_CreateNumber(mVars[171]));</v>
      </c>
    </row>
    <row r="176" spans="2:16">
      <c r="C176" s="1">
        <v>172</v>
      </c>
      <c r="D176" s="1" t="str">
        <f t="shared" si="21"/>
        <v>00AC</v>
      </c>
      <c r="H176" t="str">
        <f t="shared" si="28"/>
        <v>#define    172</v>
      </c>
      <c r="I176" t="str">
        <f t="shared" si="29"/>
        <v>public const byte  = 172;</v>
      </c>
      <c r="L176" t="str">
        <f t="shared" si="27"/>
        <v>UpdateScanList(, 5000);</v>
      </c>
      <c r="N176" t="str">
        <f t="shared" si="30"/>
        <v>COM_AddStreamedVariable(, 1000);</v>
      </c>
      <c r="O176" t="str">
        <f t="shared" si="25"/>
        <v/>
      </c>
      <c r="P176" t="str">
        <f t="shared" si="31"/>
        <v>cJSON_AddItemToObject(Uha, "", cJSON_CreateNumber(mVars[172]));</v>
      </c>
    </row>
    <row r="177" spans="3:16">
      <c r="C177" s="1">
        <v>173</v>
      </c>
      <c r="D177" s="1" t="str">
        <f t="shared" si="21"/>
        <v>00AD</v>
      </c>
      <c r="H177" t="str">
        <f t="shared" si="28"/>
        <v>#define    173</v>
      </c>
      <c r="I177" t="str">
        <f t="shared" si="29"/>
        <v>public const byte  = 173;</v>
      </c>
      <c r="L177" t="str">
        <f t="shared" si="27"/>
        <v>UpdateScanList(, 5000);</v>
      </c>
      <c r="N177" t="str">
        <f t="shared" si="30"/>
        <v>COM_AddStreamedVariable(, 1000);</v>
      </c>
      <c r="O177" t="str">
        <f t="shared" si="25"/>
        <v/>
      </c>
      <c r="P177" t="str">
        <f t="shared" si="31"/>
        <v>cJSON_AddItemToObject(Uha, "", cJSON_CreateNumber(mVars[173]));</v>
      </c>
    </row>
    <row r="178" spans="3:16">
      <c r="C178" s="1">
        <v>174</v>
      </c>
      <c r="D178" s="1" t="str">
        <f t="shared" si="21"/>
        <v>00AE</v>
      </c>
      <c r="H178" t="str">
        <f t="shared" si="28"/>
        <v>#define    174</v>
      </c>
      <c r="I178" t="str">
        <f t="shared" si="29"/>
        <v>public const byte  = 174;</v>
      </c>
      <c r="L178" t="str">
        <f t="shared" si="27"/>
        <v>UpdateScanList(, 5000);</v>
      </c>
      <c r="N178" t="str">
        <f t="shared" si="30"/>
        <v>COM_AddStreamedVariable(, 1000);</v>
      </c>
      <c r="O178" t="str">
        <f t="shared" si="25"/>
        <v/>
      </c>
      <c r="P178" t="str">
        <f t="shared" si="31"/>
        <v>cJSON_AddItemToObject(Uha, "", cJSON_CreateNumber(mVars[174]));</v>
      </c>
    </row>
    <row r="179" spans="3:16">
      <c r="C179" s="1">
        <v>175</v>
      </c>
      <c r="D179" s="1" t="str">
        <f t="shared" si="21"/>
        <v>00AF</v>
      </c>
      <c r="H179" t="str">
        <f t="shared" si="28"/>
        <v>#define    175</v>
      </c>
      <c r="I179" t="str">
        <f t="shared" si="29"/>
        <v>public const byte  = 175;</v>
      </c>
      <c r="L179" t="str">
        <f t="shared" si="27"/>
        <v>UpdateScanList(, 5000);</v>
      </c>
      <c r="N179" t="str">
        <f t="shared" si="30"/>
        <v>COM_AddStreamedVariable(, 1000);</v>
      </c>
      <c r="O179" t="str">
        <f t="shared" si="25"/>
        <v/>
      </c>
      <c r="P179" t="str">
        <f t="shared" si="31"/>
        <v>cJSON_AddItemToObject(Uha, "", cJSON_CreateNumber(mVars[175]));</v>
      </c>
    </row>
    <row r="180" spans="3:16">
      <c r="C180" s="1">
        <v>176</v>
      </c>
      <c r="D180" s="1" t="str">
        <f t="shared" si="21"/>
        <v>00B0</v>
      </c>
      <c r="H180" t="str">
        <f t="shared" si="28"/>
        <v>#define    176</v>
      </c>
      <c r="I180" t="str">
        <f t="shared" si="29"/>
        <v>public const byte  = 176;</v>
      </c>
      <c r="L180" t="str">
        <f t="shared" si="27"/>
        <v>UpdateScanList(, 5000);</v>
      </c>
      <c r="N180" t="str">
        <f t="shared" si="30"/>
        <v>COM_AddStreamedVariable(, 1000);</v>
      </c>
      <c r="O180" t="str">
        <f t="shared" si="25"/>
        <v/>
      </c>
      <c r="P180" t="str">
        <f t="shared" si="31"/>
        <v>cJSON_AddItemToObject(Uha, "", cJSON_CreateNumber(mVars[176]));</v>
      </c>
    </row>
    <row r="181" spans="3:16">
      <c r="C181" s="1">
        <v>177</v>
      </c>
      <c r="D181" s="1" t="str">
        <f t="shared" si="21"/>
        <v>00B1</v>
      </c>
      <c r="H181" t="str">
        <f t="shared" si="28"/>
        <v>#define    177</v>
      </c>
      <c r="I181" t="str">
        <f t="shared" si="29"/>
        <v>public const byte  = 177;</v>
      </c>
      <c r="L181" t="str">
        <f t="shared" si="27"/>
        <v>UpdateScanList(, 5000);</v>
      </c>
      <c r="N181" t="str">
        <f t="shared" si="30"/>
        <v>COM_AddStreamedVariable(, 1000);</v>
      </c>
      <c r="O181" t="str">
        <f t="shared" si="25"/>
        <v/>
      </c>
      <c r="P181" t="str">
        <f t="shared" si="31"/>
        <v>cJSON_AddItemToObject(Uha, "", cJSON_CreateNumber(mVars[177]));</v>
      </c>
    </row>
    <row r="182" spans="3:16">
      <c r="C182" s="1">
        <v>178</v>
      </c>
      <c r="D182" s="1" t="str">
        <f t="shared" si="21"/>
        <v>00B2</v>
      </c>
      <c r="H182" t="str">
        <f t="shared" si="28"/>
        <v>#define    178</v>
      </c>
      <c r="I182" t="str">
        <f t="shared" si="29"/>
        <v>public const byte  = 178;</v>
      </c>
      <c r="L182" t="str">
        <f t="shared" si="27"/>
        <v>UpdateScanList(, 5000);</v>
      </c>
      <c r="N182" t="str">
        <f t="shared" si="30"/>
        <v>COM_AddStreamedVariable(, 1000);</v>
      </c>
      <c r="O182" t="str">
        <f t="shared" si="25"/>
        <v/>
      </c>
      <c r="P182" t="str">
        <f t="shared" si="31"/>
        <v>cJSON_AddItemToObject(Uha, "", cJSON_CreateNumber(mVars[178]));</v>
      </c>
    </row>
    <row r="183" spans="3:16">
      <c r="C183" s="1">
        <v>179</v>
      </c>
      <c r="D183" s="1" t="str">
        <f t="shared" si="21"/>
        <v>00B3</v>
      </c>
      <c r="H183" t="str">
        <f t="shared" si="28"/>
        <v>#define    179</v>
      </c>
      <c r="I183" t="str">
        <f t="shared" si="29"/>
        <v>public const byte  = 179;</v>
      </c>
      <c r="L183" t="str">
        <f t="shared" si="27"/>
        <v>UpdateScanList(, 5000);</v>
      </c>
      <c r="N183" t="str">
        <f t="shared" si="30"/>
        <v>COM_AddStreamedVariable(, 1000);</v>
      </c>
      <c r="O183" t="str">
        <f t="shared" si="25"/>
        <v/>
      </c>
      <c r="P183" t="str">
        <f t="shared" si="31"/>
        <v>cJSON_AddItemToObject(Uha, "", cJSON_CreateNumber(mVars[179]));</v>
      </c>
    </row>
    <row r="184" spans="3:16">
      <c r="C184" s="1">
        <v>180</v>
      </c>
      <c r="D184" s="1" t="str">
        <f t="shared" si="21"/>
        <v>00B4</v>
      </c>
      <c r="E184" t="s">
        <v>187</v>
      </c>
      <c r="H184" t="str">
        <f t="shared" ref="H184:H195" si="32">CONCATENATE("#define  ",E184,"  ",C184)</f>
        <v>#define  VAR_BMS1_CELL1_MV  180</v>
      </c>
      <c r="I184" t="str">
        <f t="shared" ref="I184:I195" si="33">CONCATENATE("public const byte ",E184," = ",C184,";")</f>
        <v>public const byte VAR_BMS1_CELL1_MV = 180;</v>
      </c>
      <c r="J184">
        <v>0</v>
      </c>
      <c r="L184" t="str">
        <f t="shared" si="27"/>
        <v>UpdateScanList(VAR_BMS1_CELL1_MV, 5000);</v>
      </c>
      <c r="M184" t="str">
        <f>CONCATENATE("VAR_SetVariable(",E184,", Cells[",J184,"].Voltage_mV", ", validflag);")</f>
        <v>VAR_SetVariable(VAR_BMS1_CELL1_MV, Cells[0].Voltage_mV, validflag);</v>
      </c>
      <c r="O184" t="str">
        <f t="shared" si="25"/>
        <v>cJSON_AddItemToObject(Uha, "VAR_BMS1_CELL1_MV", cJSON_CreateNumber(mVars[VAR_BMS1_CELL1_MV]));</v>
      </c>
      <c r="P184" t="str">
        <f t="shared" ref="P184:P206" si="34">CONCATENATE("cJSON_AddItemToObject(Uha, ","""",E184,"""",", cJSON_CreateNumber(mVars[",C184,"]));")</f>
        <v>cJSON_AddItemToObject(Uha, "VAR_BMS1_CELL1_MV", cJSON_CreateNumber(mVars[180]));</v>
      </c>
    </row>
    <row r="185" spans="3:16">
      <c r="C185" s="1">
        <v>181</v>
      </c>
      <c r="D185" s="1" t="str">
        <f t="shared" si="21"/>
        <v>00B5</v>
      </c>
      <c r="E185" t="s">
        <v>188</v>
      </c>
      <c r="H185" t="str">
        <f t="shared" si="32"/>
        <v>#define  VAR_BMS1_CELL2_MV  181</v>
      </c>
      <c r="I185" t="str">
        <f t="shared" si="33"/>
        <v>public const byte VAR_BMS1_CELL2_MV = 181;</v>
      </c>
      <c r="J185">
        <v>1</v>
      </c>
      <c r="L185" t="str">
        <f t="shared" si="27"/>
        <v>UpdateScanList(VAR_BMS1_CELL2_MV, 5000);</v>
      </c>
      <c r="M185" t="str">
        <f t="shared" ref="M185:M239" si="35">CONCATENATE("VAR_SetVariable(",E185,", Cells[",J185,"].Voltage_mV", ", validflag);")</f>
        <v>VAR_SetVariable(VAR_BMS1_CELL2_MV, Cells[1].Voltage_mV, validflag);</v>
      </c>
      <c r="O185" t="str">
        <f t="shared" si="25"/>
        <v>cJSON_AddItemToObject(Uha, "VAR_BMS1_CELL2_MV", cJSON_CreateNumber(mVars[VAR_BMS1_CELL2_MV]));</v>
      </c>
      <c r="P185" t="str">
        <f t="shared" si="34"/>
        <v>cJSON_AddItemToObject(Uha, "VAR_BMS1_CELL2_MV", cJSON_CreateNumber(mVars[181]));</v>
      </c>
    </row>
    <row r="186" spans="3:16">
      <c r="C186" s="1">
        <v>182</v>
      </c>
      <c r="D186" s="1" t="str">
        <f t="shared" si="21"/>
        <v>00B6</v>
      </c>
      <c r="E186" t="s">
        <v>189</v>
      </c>
      <c r="H186" t="str">
        <f t="shared" si="32"/>
        <v>#define  VAR_BMS1_CELL3_MV  182</v>
      </c>
      <c r="I186" t="str">
        <f t="shared" si="33"/>
        <v>public const byte VAR_BMS1_CELL3_MV = 182;</v>
      </c>
      <c r="J186">
        <v>2</v>
      </c>
      <c r="L186" t="str">
        <f t="shared" si="27"/>
        <v>UpdateScanList(VAR_BMS1_CELL3_MV, 5000);</v>
      </c>
      <c r="M186" t="str">
        <f t="shared" si="35"/>
        <v>VAR_SetVariable(VAR_BMS1_CELL3_MV, Cells[2].Voltage_mV, validflag);</v>
      </c>
      <c r="O186" t="str">
        <f t="shared" si="25"/>
        <v>cJSON_AddItemToObject(Uha, "VAR_BMS1_CELL3_MV", cJSON_CreateNumber(mVars[VAR_BMS1_CELL3_MV]));</v>
      </c>
      <c r="P186" t="str">
        <f t="shared" si="34"/>
        <v>cJSON_AddItemToObject(Uha, "VAR_BMS1_CELL3_MV", cJSON_CreateNumber(mVars[182]));</v>
      </c>
    </row>
    <row r="187" spans="3:16">
      <c r="C187" s="1">
        <v>183</v>
      </c>
      <c r="D187" s="1" t="str">
        <f t="shared" si="21"/>
        <v>00B7</v>
      </c>
      <c r="E187" t="s">
        <v>190</v>
      </c>
      <c r="H187" t="str">
        <f t="shared" si="32"/>
        <v>#define  VAR_BMS1_CELL4_MV  183</v>
      </c>
      <c r="I187" t="str">
        <f t="shared" si="33"/>
        <v>public const byte VAR_BMS1_CELL4_MV = 183;</v>
      </c>
      <c r="J187">
        <v>3</v>
      </c>
      <c r="L187" t="str">
        <f t="shared" si="27"/>
        <v>UpdateScanList(VAR_BMS1_CELL4_MV, 5000);</v>
      </c>
      <c r="M187" t="str">
        <f t="shared" si="35"/>
        <v>VAR_SetVariable(VAR_BMS1_CELL4_MV, Cells[3].Voltage_mV, validflag);</v>
      </c>
      <c r="O187" t="str">
        <f t="shared" si="25"/>
        <v>cJSON_AddItemToObject(Uha, "VAR_BMS1_CELL4_MV", cJSON_CreateNumber(mVars[VAR_BMS1_CELL4_MV]));</v>
      </c>
      <c r="P187" t="str">
        <f t="shared" si="34"/>
        <v>cJSON_AddItemToObject(Uha, "VAR_BMS1_CELL4_MV", cJSON_CreateNumber(mVars[183]));</v>
      </c>
    </row>
    <row r="188" spans="3:16">
      <c r="C188" s="1">
        <v>184</v>
      </c>
      <c r="D188" s="1" t="str">
        <f t="shared" si="21"/>
        <v>00B8</v>
      </c>
      <c r="E188" t="s">
        <v>191</v>
      </c>
      <c r="H188" t="str">
        <f t="shared" si="32"/>
        <v>#define  VAR_BMS1_CELL5_MV  184</v>
      </c>
      <c r="I188" t="str">
        <f t="shared" si="33"/>
        <v>public const byte VAR_BMS1_CELL5_MV = 184;</v>
      </c>
      <c r="J188">
        <v>4</v>
      </c>
      <c r="L188" t="str">
        <f t="shared" si="27"/>
        <v>UpdateScanList(VAR_BMS1_CELL5_MV, 5000);</v>
      </c>
      <c r="M188" t="str">
        <f t="shared" si="35"/>
        <v>VAR_SetVariable(VAR_BMS1_CELL5_MV, Cells[4].Voltage_mV, validflag);</v>
      </c>
      <c r="O188" t="str">
        <f t="shared" si="25"/>
        <v>cJSON_AddItemToObject(Uha, "VAR_BMS1_CELL5_MV", cJSON_CreateNumber(mVars[VAR_BMS1_CELL5_MV]));</v>
      </c>
      <c r="P188" t="str">
        <f t="shared" si="34"/>
        <v>cJSON_AddItemToObject(Uha, "VAR_BMS1_CELL5_MV", cJSON_CreateNumber(mVars[184]));</v>
      </c>
    </row>
    <row r="189" spans="3:16">
      <c r="C189" s="1">
        <v>185</v>
      </c>
      <c r="D189" s="1" t="str">
        <f t="shared" si="21"/>
        <v>00B9</v>
      </c>
      <c r="E189" t="s">
        <v>192</v>
      </c>
      <c r="H189" t="str">
        <f t="shared" si="32"/>
        <v>#define  VAR_BMS1_CELL6_MV  185</v>
      </c>
      <c r="I189" t="str">
        <f t="shared" si="33"/>
        <v>public const byte VAR_BMS1_CELL6_MV = 185;</v>
      </c>
      <c r="J189">
        <v>5</v>
      </c>
      <c r="L189" t="str">
        <f t="shared" si="27"/>
        <v>UpdateScanList(VAR_BMS1_CELL6_MV, 5000);</v>
      </c>
      <c r="M189" t="str">
        <f t="shared" si="35"/>
        <v>VAR_SetVariable(VAR_BMS1_CELL6_MV, Cells[5].Voltage_mV, validflag);</v>
      </c>
      <c r="O189" t="str">
        <f t="shared" si="25"/>
        <v>cJSON_AddItemToObject(Uha, "VAR_BMS1_CELL6_MV", cJSON_CreateNumber(mVars[VAR_BMS1_CELL6_MV]));</v>
      </c>
      <c r="P189" t="str">
        <f t="shared" si="34"/>
        <v>cJSON_AddItemToObject(Uha, "VAR_BMS1_CELL6_MV", cJSON_CreateNumber(mVars[185]));</v>
      </c>
    </row>
    <row r="190" spans="3:16">
      <c r="C190" s="1">
        <v>186</v>
      </c>
      <c r="D190" s="1" t="str">
        <f t="shared" si="21"/>
        <v>00BA</v>
      </c>
      <c r="E190" t="s">
        <v>193</v>
      </c>
      <c r="H190" t="str">
        <f t="shared" si="32"/>
        <v>#define  VAR_BMS1_CELL7_MV  186</v>
      </c>
      <c r="I190" t="str">
        <f t="shared" si="33"/>
        <v>public const byte VAR_BMS1_CELL7_MV = 186;</v>
      </c>
      <c r="J190">
        <v>6</v>
      </c>
      <c r="L190" t="str">
        <f t="shared" si="27"/>
        <v>UpdateScanList(VAR_BMS1_CELL7_MV, 5000);</v>
      </c>
      <c r="M190" t="str">
        <f t="shared" si="35"/>
        <v>VAR_SetVariable(VAR_BMS1_CELL7_MV, Cells[6].Voltage_mV, validflag);</v>
      </c>
      <c r="O190" t="str">
        <f t="shared" si="25"/>
        <v>cJSON_AddItemToObject(Uha, "VAR_BMS1_CELL7_MV", cJSON_CreateNumber(mVars[VAR_BMS1_CELL7_MV]));</v>
      </c>
      <c r="P190" t="str">
        <f t="shared" si="34"/>
        <v>cJSON_AddItemToObject(Uha, "VAR_BMS1_CELL7_MV", cJSON_CreateNumber(mVars[186]));</v>
      </c>
    </row>
    <row r="191" spans="3:16">
      <c r="C191" s="1">
        <v>187</v>
      </c>
      <c r="D191" s="1" t="str">
        <f t="shared" si="21"/>
        <v>00BB</v>
      </c>
      <c r="E191" t="s">
        <v>194</v>
      </c>
      <c r="H191" t="str">
        <f t="shared" si="32"/>
        <v>#define  VAR_BMS1_CELL8_MV  187</v>
      </c>
      <c r="I191" t="str">
        <f t="shared" si="33"/>
        <v>public const byte VAR_BMS1_CELL8_MV = 187;</v>
      </c>
      <c r="J191">
        <v>7</v>
      </c>
      <c r="L191" t="str">
        <f t="shared" si="27"/>
        <v>UpdateScanList(VAR_BMS1_CELL8_MV, 5000);</v>
      </c>
      <c r="M191" t="str">
        <f t="shared" si="35"/>
        <v>VAR_SetVariable(VAR_BMS1_CELL8_MV, Cells[7].Voltage_mV, validflag);</v>
      </c>
      <c r="O191" t="str">
        <f t="shared" si="25"/>
        <v>cJSON_AddItemToObject(Uha, "VAR_BMS1_CELL8_MV", cJSON_CreateNumber(mVars[VAR_BMS1_CELL8_MV]));</v>
      </c>
      <c r="P191" t="str">
        <f t="shared" si="34"/>
        <v>cJSON_AddItemToObject(Uha, "VAR_BMS1_CELL8_MV", cJSON_CreateNumber(mVars[187]));</v>
      </c>
    </row>
    <row r="192" spans="3:16">
      <c r="C192" s="1">
        <v>188</v>
      </c>
      <c r="D192" s="1" t="str">
        <f t="shared" si="21"/>
        <v>00BC</v>
      </c>
      <c r="E192" t="s">
        <v>195</v>
      </c>
      <c r="H192" t="str">
        <f t="shared" si="32"/>
        <v>#define  VAR_BMS1_CELL9_MV  188</v>
      </c>
      <c r="I192" t="str">
        <f t="shared" si="33"/>
        <v>public const byte VAR_BMS1_CELL9_MV = 188;</v>
      </c>
      <c r="J192">
        <v>8</v>
      </c>
      <c r="L192" t="str">
        <f t="shared" si="27"/>
        <v>UpdateScanList(VAR_BMS1_CELL9_MV, 5000);</v>
      </c>
      <c r="M192" t="str">
        <f t="shared" si="35"/>
        <v>VAR_SetVariable(VAR_BMS1_CELL9_MV, Cells[8].Voltage_mV, validflag);</v>
      </c>
      <c r="O192" t="str">
        <f t="shared" si="25"/>
        <v>cJSON_AddItemToObject(Uha, "VAR_BMS1_CELL9_MV", cJSON_CreateNumber(mVars[VAR_BMS1_CELL9_MV]));</v>
      </c>
      <c r="P192" t="str">
        <f t="shared" si="34"/>
        <v>cJSON_AddItemToObject(Uha, "VAR_BMS1_CELL9_MV", cJSON_CreateNumber(mVars[188]));</v>
      </c>
    </row>
    <row r="193" spans="3:16">
      <c r="C193" s="1">
        <v>189</v>
      </c>
      <c r="D193" s="1" t="str">
        <f t="shared" si="21"/>
        <v>00BD</v>
      </c>
      <c r="E193" t="s">
        <v>196</v>
      </c>
      <c r="H193" t="str">
        <f t="shared" si="32"/>
        <v>#define  VAR_BMS1_CELL10_MV  189</v>
      </c>
      <c r="I193" t="str">
        <f t="shared" si="33"/>
        <v>public const byte VAR_BMS1_CELL10_MV = 189;</v>
      </c>
      <c r="J193">
        <v>9</v>
      </c>
      <c r="L193" t="str">
        <f t="shared" si="27"/>
        <v>UpdateScanList(VAR_BMS1_CELL10_MV, 5000);</v>
      </c>
      <c r="M193" t="str">
        <f t="shared" si="35"/>
        <v>VAR_SetVariable(VAR_BMS1_CELL10_MV, Cells[9].Voltage_mV, validflag);</v>
      </c>
      <c r="O193" t="str">
        <f t="shared" si="25"/>
        <v>cJSON_AddItemToObject(Uha, "VAR_BMS1_CELL10_MV", cJSON_CreateNumber(mVars[VAR_BMS1_CELL10_MV]));</v>
      </c>
      <c r="P193" t="str">
        <f t="shared" si="34"/>
        <v>cJSON_AddItemToObject(Uha, "VAR_BMS1_CELL10_MV", cJSON_CreateNumber(mVars[189]));</v>
      </c>
    </row>
    <row r="194" spans="3:16">
      <c r="C194" s="1">
        <v>190</v>
      </c>
      <c r="D194" s="1" t="str">
        <f t="shared" si="21"/>
        <v>00BE</v>
      </c>
      <c r="E194" t="s">
        <v>197</v>
      </c>
      <c r="H194" t="str">
        <f t="shared" si="32"/>
        <v>#define  VAR_BMS1_CELL11_MV  190</v>
      </c>
      <c r="I194" t="str">
        <f t="shared" si="33"/>
        <v>public const byte VAR_BMS1_CELL11_MV = 190;</v>
      </c>
      <c r="J194">
        <v>10</v>
      </c>
      <c r="L194" t="str">
        <f t="shared" si="27"/>
        <v>UpdateScanList(VAR_BMS1_CELL11_MV, 5000);</v>
      </c>
      <c r="M194" t="str">
        <f t="shared" si="35"/>
        <v>VAR_SetVariable(VAR_BMS1_CELL11_MV, Cells[10].Voltage_mV, validflag);</v>
      </c>
      <c r="O194" t="str">
        <f t="shared" si="25"/>
        <v>cJSON_AddItemToObject(Uha, "VAR_BMS1_CELL11_MV", cJSON_CreateNumber(mVars[VAR_BMS1_CELL11_MV]));</v>
      </c>
      <c r="P194" t="str">
        <f t="shared" si="34"/>
        <v>cJSON_AddItemToObject(Uha, "VAR_BMS1_CELL11_MV", cJSON_CreateNumber(mVars[190]));</v>
      </c>
    </row>
    <row r="195" spans="3:16">
      <c r="C195" s="1">
        <v>191</v>
      </c>
      <c r="D195" s="1" t="str">
        <f t="shared" si="21"/>
        <v>00BF</v>
      </c>
      <c r="E195" t="s">
        <v>198</v>
      </c>
      <c r="H195" t="str">
        <f t="shared" si="32"/>
        <v>#define  VAR_BMS1_CELL12_MV  191</v>
      </c>
      <c r="I195" t="str">
        <f t="shared" si="33"/>
        <v>public const byte VAR_BMS1_CELL12_MV = 191;</v>
      </c>
      <c r="J195">
        <v>11</v>
      </c>
      <c r="L195" t="str">
        <f t="shared" si="27"/>
        <v>UpdateScanList(VAR_BMS1_CELL12_MV, 5000);</v>
      </c>
      <c r="M195" t="str">
        <f t="shared" si="35"/>
        <v>VAR_SetVariable(VAR_BMS1_CELL12_MV, Cells[11].Voltage_mV, validflag);</v>
      </c>
      <c r="O195" t="str">
        <f t="shared" si="25"/>
        <v>cJSON_AddItemToObject(Uha, "VAR_BMS1_CELL12_MV", cJSON_CreateNumber(mVars[VAR_BMS1_CELL12_MV]));</v>
      </c>
      <c r="P195" t="str">
        <f t="shared" si="34"/>
        <v>cJSON_AddItemToObject(Uha, "VAR_BMS1_CELL12_MV", cJSON_CreateNumber(mVars[191]));</v>
      </c>
    </row>
    <row r="196" spans="3:16">
      <c r="C196" s="1">
        <v>192</v>
      </c>
      <c r="D196" s="1" t="str">
        <f t="shared" ref="D196:D259" si="36">DEC2HEX(C196,4)</f>
        <v>00C0</v>
      </c>
      <c r="E196" t="s">
        <v>199</v>
      </c>
      <c r="H196" t="str">
        <f t="shared" ref="H196:H255" si="37">CONCATENATE("#define  ",E196,"  ",C196)</f>
        <v>#define  VAR_BMS1_CELL13_MV  192</v>
      </c>
      <c r="I196" t="str">
        <f t="shared" ref="I196:I255" si="38">CONCATENATE("public const byte ",E196," = ",C196,";")</f>
        <v>public const byte VAR_BMS1_CELL13_MV = 192;</v>
      </c>
      <c r="J196">
        <v>12</v>
      </c>
      <c r="L196" t="str">
        <f t="shared" si="27"/>
        <v>UpdateScanList(VAR_BMS1_CELL13_MV, 5000);</v>
      </c>
      <c r="M196" t="str">
        <f t="shared" si="35"/>
        <v>VAR_SetVariable(VAR_BMS1_CELL13_MV, Cells[12].Voltage_mV, validflag);</v>
      </c>
      <c r="O196" t="str">
        <f t="shared" si="25"/>
        <v>cJSON_AddItemToObject(Uha, "VAR_BMS1_CELL13_MV", cJSON_CreateNumber(mVars[VAR_BMS1_CELL13_MV]));</v>
      </c>
      <c r="P196" t="str">
        <f t="shared" si="34"/>
        <v>cJSON_AddItemToObject(Uha, "VAR_BMS1_CELL13_MV", cJSON_CreateNumber(mVars[192]));</v>
      </c>
    </row>
    <row r="197" spans="3:16">
      <c r="C197" s="1">
        <v>193</v>
      </c>
      <c r="D197" s="1" t="str">
        <f t="shared" si="36"/>
        <v>00C1</v>
      </c>
      <c r="E197" t="s">
        <v>200</v>
      </c>
      <c r="H197" t="str">
        <f t="shared" si="37"/>
        <v>#define  VAR_BMS1_CELL14_MV  193</v>
      </c>
      <c r="I197" t="str">
        <f t="shared" si="38"/>
        <v>public const byte VAR_BMS1_CELL14_MV = 193;</v>
      </c>
      <c r="J197">
        <v>13</v>
      </c>
      <c r="L197" t="str">
        <f t="shared" si="27"/>
        <v>UpdateScanList(VAR_BMS1_CELL14_MV, 5000);</v>
      </c>
      <c r="M197" t="str">
        <f t="shared" si="35"/>
        <v>VAR_SetVariable(VAR_BMS1_CELL14_MV, Cells[13].Voltage_mV, validflag);</v>
      </c>
      <c r="O197" t="str">
        <f t="shared" si="25"/>
        <v>cJSON_AddItemToObject(Uha, "VAR_BMS1_CELL14_MV", cJSON_CreateNumber(mVars[VAR_BMS1_CELL14_MV]));</v>
      </c>
      <c r="P197" t="str">
        <f t="shared" si="34"/>
        <v>cJSON_AddItemToObject(Uha, "VAR_BMS1_CELL14_MV", cJSON_CreateNumber(mVars[193]));</v>
      </c>
    </row>
    <row r="198" spans="3:16">
      <c r="C198" s="1">
        <v>194</v>
      </c>
      <c r="D198" s="1" t="str">
        <f t="shared" si="36"/>
        <v>00C2</v>
      </c>
      <c r="E198" t="s">
        <v>201</v>
      </c>
      <c r="H198" t="str">
        <f t="shared" si="37"/>
        <v>#define  VAR_BMS1_CELL15_MV  194</v>
      </c>
      <c r="I198" t="str">
        <f t="shared" si="38"/>
        <v>public const byte VAR_BMS1_CELL15_MV = 194;</v>
      </c>
      <c r="J198">
        <v>14</v>
      </c>
      <c r="L198" t="str">
        <f t="shared" si="27"/>
        <v>UpdateScanList(VAR_BMS1_CELL15_MV, 5000);</v>
      </c>
      <c r="M198" t="str">
        <f t="shared" si="35"/>
        <v>VAR_SetVariable(VAR_BMS1_CELL15_MV, Cells[14].Voltage_mV, validflag);</v>
      </c>
      <c r="O198" t="str">
        <f t="shared" si="25"/>
        <v>cJSON_AddItemToObject(Uha, "VAR_BMS1_CELL15_MV", cJSON_CreateNumber(mVars[VAR_BMS1_CELL15_MV]));</v>
      </c>
      <c r="P198" t="str">
        <f t="shared" si="34"/>
        <v>cJSON_AddItemToObject(Uha, "VAR_BMS1_CELL15_MV", cJSON_CreateNumber(mVars[194]));</v>
      </c>
    </row>
    <row r="199" spans="3:16">
      <c r="C199" s="1">
        <v>195</v>
      </c>
      <c r="D199" s="1" t="str">
        <f t="shared" si="36"/>
        <v>00C3</v>
      </c>
      <c r="E199" t="s">
        <v>202</v>
      </c>
      <c r="H199" t="str">
        <f t="shared" si="37"/>
        <v>#define  VAR_BMS1_CELL16_MV  195</v>
      </c>
      <c r="I199" t="str">
        <f t="shared" si="38"/>
        <v>public const byte VAR_BMS1_CELL16_MV = 195;</v>
      </c>
      <c r="J199">
        <v>15</v>
      </c>
      <c r="L199" t="str">
        <f t="shared" si="27"/>
        <v>UpdateScanList(VAR_BMS1_CELL16_MV, 5000);</v>
      </c>
      <c r="M199" t="str">
        <f t="shared" si="35"/>
        <v>VAR_SetVariable(VAR_BMS1_CELL16_MV, Cells[15].Voltage_mV, validflag);</v>
      </c>
      <c r="O199" t="str">
        <f t="shared" si="25"/>
        <v>cJSON_AddItemToObject(Uha, "VAR_BMS1_CELL16_MV", cJSON_CreateNumber(mVars[VAR_BMS1_CELL16_MV]));</v>
      </c>
      <c r="P199" t="str">
        <f t="shared" si="34"/>
        <v>cJSON_AddItemToObject(Uha, "VAR_BMS1_CELL16_MV", cJSON_CreateNumber(mVars[195]));</v>
      </c>
    </row>
    <row r="200" spans="3:16">
      <c r="C200" s="1">
        <v>196</v>
      </c>
      <c r="D200" s="1" t="str">
        <f t="shared" si="36"/>
        <v>00C4</v>
      </c>
      <c r="E200" t="s">
        <v>219</v>
      </c>
      <c r="H200" t="str">
        <f t="shared" si="37"/>
        <v>#define  VAR_BMS1_CELL1_C  196</v>
      </c>
      <c r="I200" t="str">
        <f t="shared" si="38"/>
        <v>public const byte VAR_BMS1_CELL1_C = 196;</v>
      </c>
      <c r="J200">
        <v>0</v>
      </c>
      <c r="L200" t="str">
        <f t="shared" si="27"/>
        <v>UpdateScanList(VAR_BMS1_CELL1_C, 5000);</v>
      </c>
      <c r="M200" t="str">
        <f>CONCATENATE("VAR_SetVariable(",E200,", Cells[",J200,"].Temp_C", ", validflag);")</f>
        <v>VAR_SetVariable(VAR_BMS1_CELL1_C, Cells[0].Temp_C, validflag);</v>
      </c>
      <c r="O200" t="str">
        <f t="shared" si="25"/>
        <v>cJSON_AddItemToObject(Uha, "VAR_BMS1_CELL1_C", cJSON_CreateNumber(mVars[VAR_BMS1_CELL1_C]));</v>
      </c>
      <c r="P200" t="str">
        <f t="shared" si="34"/>
        <v>cJSON_AddItemToObject(Uha, "VAR_BMS1_CELL1_C", cJSON_CreateNumber(mVars[196]));</v>
      </c>
    </row>
    <row r="201" spans="3:16">
      <c r="C201" s="1">
        <v>197</v>
      </c>
      <c r="D201" s="1" t="str">
        <f t="shared" si="36"/>
        <v>00C5</v>
      </c>
      <c r="E201" t="s">
        <v>220</v>
      </c>
      <c r="H201" t="str">
        <f t="shared" si="37"/>
        <v>#define  VAR_BMS1_CELL2_C  197</v>
      </c>
      <c r="I201" t="str">
        <f t="shared" si="38"/>
        <v>public const byte VAR_BMS1_CELL2_C = 197;</v>
      </c>
      <c r="J201">
        <v>1</v>
      </c>
      <c r="L201" t="str">
        <f t="shared" si="27"/>
        <v>UpdateScanList(VAR_BMS1_CELL2_C, 5000);</v>
      </c>
      <c r="M201" t="str">
        <f t="shared" ref="M201:M215" si="39">CONCATENATE("VAR_SetVariable(",E201,", Cells[",J201,"].Temp_C", ", validflag);")</f>
        <v>VAR_SetVariable(VAR_BMS1_CELL2_C, Cells[1].Temp_C, validflag);</v>
      </c>
      <c r="O201" t="str">
        <f t="shared" si="25"/>
        <v>cJSON_AddItemToObject(Uha, "VAR_BMS1_CELL2_C", cJSON_CreateNumber(mVars[VAR_BMS1_CELL2_C]));</v>
      </c>
      <c r="P201" t="str">
        <f t="shared" si="34"/>
        <v>cJSON_AddItemToObject(Uha, "VAR_BMS1_CELL2_C", cJSON_CreateNumber(mVars[197]));</v>
      </c>
    </row>
    <row r="202" spans="3:16">
      <c r="C202" s="1">
        <v>198</v>
      </c>
      <c r="D202" s="1" t="str">
        <f t="shared" si="36"/>
        <v>00C6</v>
      </c>
      <c r="E202" t="s">
        <v>221</v>
      </c>
      <c r="H202" t="str">
        <f t="shared" si="37"/>
        <v>#define  VAR_BMS1_CELL3_C  198</v>
      </c>
      <c r="I202" t="str">
        <f t="shared" si="38"/>
        <v>public const byte VAR_BMS1_CELL3_C = 198;</v>
      </c>
      <c r="J202">
        <v>2</v>
      </c>
      <c r="L202" t="str">
        <f t="shared" si="27"/>
        <v>UpdateScanList(VAR_BMS1_CELL3_C, 5000);</v>
      </c>
      <c r="M202" t="str">
        <f t="shared" si="39"/>
        <v>VAR_SetVariable(VAR_BMS1_CELL3_C, Cells[2].Temp_C, validflag);</v>
      </c>
      <c r="O202" t="str">
        <f t="shared" si="25"/>
        <v>cJSON_AddItemToObject(Uha, "VAR_BMS1_CELL3_C", cJSON_CreateNumber(mVars[VAR_BMS1_CELL3_C]));</v>
      </c>
      <c r="P202" t="str">
        <f t="shared" si="34"/>
        <v>cJSON_AddItemToObject(Uha, "VAR_BMS1_CELL3_C", cJSON_CreateNumber(mVars[198]));</v>
      </c>
    </row>
    <row r="203" spans="3:16">
      <c r="C203" s="1">
        <v>199</v>
      </c>
      <c r="D203" s="1" t="str">
        <f t="shared" si="36"/>
        <v>00C7</v>
      </c>
      <c r="E203" t="s">
        <v>222</v>
      </c>
      <c r="H203" t="str">
        <f t="shared" si="37"/>
        <v>#define  VAR_BMS1_CELL4_C  199</v>
      </c>
      <c r="I203" t="str">
        <f t="shared" si="38"/>
        <v>public const byte VAR_BMS1_CELL4_C = 199;</v>
      </c>
      <c r="J203">
        <v>3</v>
      </c>
      <c r="L203" t="str">
        <f t="shared" si="27"/>
        <v>UpdateScanList(VAR_BMS1_CELL4_C, 5000);</v>
      </c>
      <c r="M203" t="str">
        <f t="shared" si="39"/>
        <v>VAR_SetVariable(VAR_BMS1_CELL4_C, Cells[3].Temp_C, validflag);</v>
      </c>
      <c r="O203" t="str">
        <f t="shared" si="25"/>
        <v>cJSON_AddItemToObject(Uha, "VAR_BMS1_CELL4_C", cJSON_CreateNumber(mVars[VAR_BMS1_CELL4_C]));</v>
      </c>
      <c r="P203" t="str">
        <f t="shared" si="34"/>
        <v>cJSON_AddItemToObject(Uha, "VAR_BMS1_CELL4_C", cJSON_CreateNumber(mVars[199]));</v>
      </c>
    </row>
    <row r="204" spans="3:16">
      <c r="C204" s="1">
        <v>200</v>
      </c>
      <c r="D204" s="1" t="str">
        <f t="shared" si="36"/>
        <v>00C8</v>
      </c>
      <c r="E204" t="s">
        <v>223</v>
      </c>
      <c r="H204" t="str">
        <f t="shared" si="37"/>
        <v>#define  VAR_BMS1_CELL5_C  200</v>
      </c>
      <c r="I204" t="str">
        <f t="shared" si="38"/>
        <v>public const byte VAR_BMS1_CELL5_C = 200;</v>
      </c>
      <c r="J204">
        <v>4</v>
      </c>
      <c r="L204" t="str">
        <f t="shared" si="27"/>
        <v>UpdateScanList(VAR_BMS1_CELL5_C, 5000);</v>
      </c>
      <c r="M204" t="str">
        <f t="shared" si="39"/>
        <v>VAR_SetVariable(VAR_BMS1_CELL5_C, Cells[4].Temp_C, validflag);</v>
      </c>
      <c r="O204" t="str">
        <f t="shared" si="25"/>
        <v>cJSON_AddItemToObject(Uha, "VAR_BMS1_CELL5_C", cJSON_CreateNumber(mVars[VAR_BMS1_CELL5_C]));</v>
      </c>
      <c r="P204" t="str">
        <f t="shared" si="34"/>
        <v>cJSON_AddItemToObject(Uha, "VAR_BMS1_CELL5_C", cJSON_CreateNumber(mVars[200]));</v>
      </c>
    </row>
    <row r="205" spans="3:16">
      <c r="C205" s="1">
        <v>201</v>
      </c>
      <c r="D205" s="1" t="str">
        <f t="shared" si="36"/>
        <v>00C9</v>
      </c>
      <c r="E205" t="s">
        <v>224</v>
      </c>
      <c r="H205" t="str">
        <f t="shared" si="37"/>
        <v>#define  VAR_BMS1_CELL6_C  201</v>
      </c>
      <c r="I205" t="str">
        <f t="shared" si="38"/>
        <v>public const byte VAR_BMS1_CELL6_C = 201;</v>
      </c>
      <c r="J205">
        <v>5</v>
      </c>
      <c r="L205" t="str">
        <f t="shared" si="27"/>
        <v>UpdateScanList(VAR_BMS1_CELL6_C, 5000);</v>
      </c>
      <c r="M205" t="str">
        <f t="shared" si="39"/>
        <v>VAR_SetVariable(VAR_BMS1_CELL6_C, Cells[5].Temp_C, validflag);</v>
      </c>
      <c r="O205" t="str">
        <f t="shared" ref="O205:O268" si="40">IF(ISBLANK(E205),"",CONCATENATE("cJSON_AddItemToObject(Uha, ","""",E205,"""",", cJSON_CreateNumber(mVars[",E205,"]));"))</f>
        <v>cJSON_AddItemToObject(Uha, "VAR_BMS1_CELL6_C", cJSON_CreateNumber(mVars[VAR_BMS1_CELL6_C]));</v>
      </c>
      <c r="P205" t="str">
        <f t="shared" si="34"/>
        <v>cJSON_AddItemToObject(Uha, "VAR_BMS1_CELL6_C", cJSON_CreateNumber(mVars[201]));</v>
      </c>
    </row>
    <row r="206" spans="3:16">
      <c r="C206" s="1">
        <v>202</v>
      </c>
      <c r="D206" s="1" t="str">
        <f t="shared" si="36"/>
        <v>00CA</v>
      </c>
      <c r="E206" t="s">
        <v>225</v>
      </c>
      <c r="H206" t="str">
        <f t="shared" si="37"/>
        <v>#define  VAR_BMS1_CELL7_C  202</v>
      </c>
      <c r="I206" t="str">
        <f t="shared" si="38"/>
        <v>public const byte VAR_BMS1_CELL7_C = 202;</v>
      </c>
      <c r="J206">
        <v>6</v>
      </c>
      <c r="L206" t="str">
        <f t="shared" si="27"/>
        <v>UpdateScanList(VAR_BMS1_CELL7_C, 5000);</v>
      </c>
      <c r="M206" t="str">
        <f t="shared" si="39"/>
        <v>VAR_SetVariable(VAR_BMS1_CELL7_C, Cells[6].Temp_C, validflag);</v>
      </c>
      <c r="O206" t="str">
        <f t="shared" si="40"/>
        <v>cJSON_AddItemToObject(Uha, "VAR_BMS1_CELL7_C", cJSON_CreateNumber(mVars[VAR_BMS1_CELL7_C]));</v>
      </c>
      <c r="P206" t="str">
        <f t="shared" si="34"/>
        <v>cJSON_AddItemToObject(Uha, "VAR_BMS1_CELL7_C", cJSON_CreateNumber(mVars[202]));</v>
      </c>
    </row>
    <row r="207" spans="3:16">
      <c r="C207" s="1">
        <v>203</v>
      </c>
      <c r="D207" s="1" t="str">
        <f t="shared" si="36"/>
        <v>00CB</v>
      </c>
      <c r="E207" t="s">
        <v>226</v>
      </c>
      <c r="H207" t="str">
        <f t="shared" si="37"/>
        <v>#define  VAR_BMS1_CELL8_C  203</v>
      </c>
      <c r="I207" t="str">
        <f t="shared" si="38"/>
        <v>public const byte VAR_BMS1_CELL8_C = 203;</v>
      </c>
      <c r="J207">
        <v>7</v>
      </c>
      <c r="L207" t="str">
        <f t="shared" ref="L207:L270" si="41">CONCATENATE("UpdateScanList(",E207, ", 5000);")</f>
        <v>UpdateScanList(VAR_BMS1_CELL8_C, 5000);</v>
      </c>
      <c r="M207" t="str">
        <f t="shared" si="39"/>
        <v>VAR_SetVariable(VAR_BMS1_CELL8_C, Cells[7].Temp_C, validflag);</v>
      </c>
      <c r="O207" t="str">
        <f t="shared" si="40"/>
        <v>cJSON_AddItemToObject(Uha, "VAR_BMS1_CELL8_C", cJSON_CreateNumber(mVars[VAR_BMS1_CELL8_C]));</v>
      </c>
      <c r="P207" t="str">
        <f t="shared" ref="P207:P255" si="42">CONCATENATE("cJSON_AddItemToObject(Uha, ","""",E207,"""",", cJSON_CreateNumber(mVars[",C207,"]));")</f>
        <v>cJSON_AddItemToObject(Uha, "VAR_BMS1_CELL8_C", cJSON_CreateNumber(mVars[203]));</v>
      </c>
    </row>
    <row r="208" spans="3:16">
      <c r="C208" s="1">
        <v>204</v>
      </c>
      <c r="D208" s="1" t="str">
        <f t="shared" si="36"/>
        <v>00CC</v>
      </c>
      <c r="E208" t="s">
        <v>227</v>
      </c>
      <c r="H208" t="str">
        <f t="shared" si="37"/>
        <v>#define  VAR_BMS1_CELL9_C  204</v>
      </c>
      <c r="I208" t="str">
        <f t="shared" si="38"/>
        <v>public const byte VAR_BMS1_CELL9_C = 204;</v>
      </c>
      <c r="J208">
        <v>8</v>
      </c>
      <c r="L208" t="str">
        <f t="shared" si="41"/>
        <v>UpdateScanList(VAR_BMS1_CELL9_C, 5000);</v>
      </c>
      <c r="M208" t="str">
        <f t="shared" si="39"/>
        <v>VAR_SetVariable(VAR_BMS1_CELL9_C, Cells[8].Temp_C, validflag);</v>
      </c>
      <c r="O208" t="str">
        <f t="shared" si="40"/>
        <v>cJSON_AddItemToObject(Uha, "VAR_BMS1_CELL9_C", cJSON_CreateNumber(mVars[VAR_BMS1_CELL9_C]));</v>
      </c>
      <c r="P208" t="str">
        <f t="shared" si="42"/>
        <v>cJSON_AddItemToObject(Uha, "VAR_BMS1_CELL9_C", cJSON_CreateNumber(mVars[204]));</v>
      </c>
    </row>
    <row r="209" spans="3:16">
      <c r="C209" s="1">
        <v>205</v>
      </c>
      <c r="D209" s="1" t="str">
        <f t="shared" si="36"/>
        <v>00CD</v>
      </c>
      <c r="E209" t="s">
        <v>228</v>
      </c>
      <c r="H209" t="str">
        <f t="shared" si="37"/>
        <v>#define  VAR_BMS1_CELL10_C  205</v>
      </c>
      <c r="I209" t="str">
        <f t="shared" si="38"/>
        <v>public const byte VAR_BMS1_CELL10_C = 205;</v>
      </c>
      <c r="J209">
        <v>9</v>
      </c>
      <c r="L209" t="str">
        <f t="shared" si="41"/>
        <v>UpdateScanList(VAR_BMS1_CELL10_C, 5000);</v>
      </c>
      <c r="M209" t="str">
        <f t="shared" si="39"/>
        <v>VAR_SetVariable(VAR_BMS1_CELL10_C, Cells[9].Temp_C, validflag);</v>
      </c>
      <c r="O209" t="str">
        <f t="shared" si="40"/>
        <v>cJSON_AddItemToObject(Uha, "VAR_BMS1_CELL10_C", cJSON_CreateNumber(mVars[VAR_BMS1_CELL10_C]));</v>
      </c>
      <c r="P209" t="str">
        <f t="shared" si="42"/>
        <v>cJSON_AddItemToObject(Uha, "VAR_BMS1_CELL10_C", cJSON_CreateNumber(mVars[205]));</v>
      </c>
    </row>
    <row r="210" spans="3:16">
      <c r="C210" s="1">
        <v>206</v>
      </c>
      <c r="D210" s="1" t="str">
        <f t="shared" si="36"/>
        <v>00CE</v>
      </c>
      <c r="E210" t="s">
        <v>229</v>
      </c>
      <c r="H210" t="str">
        <f t="shared" si="37"/>
        <v>#define  VAR_BMS1_CELL11_C  206</v>
      </c>
      <c r="I210" t="str">
        <f t="shared" si="38"/>
        <v>public const byte VAR_BMS1_CELL11_C = 206;</v>
      </c>
      <c r="J210">
        <v>10</v>
      </c>
      <c r="L210" t="str">
        <f t="shared" si="41"/>
        <v>UpdateScanList(VAR_BMS1_CELL11_C, 5000);</v>
      </c>
      <c r="M210" t="str">
        <f t="shared" si="39"/>
        <v>VAR_SetVariable(VAR_BMS1_CELL11_C, Cells[10].Temp_C, validflag);</v>
      </c>
      <c r="O210" t="str">
        <f t="shared" si="40"/>
        <v>cJSON_AddItemToObject(Uha, "VAR_BMS1_CELL11_C", cJSON_CreateNumber(mVars[VAR_BMS1_CELL11_C]));</v>
      </c>
      <c r="P210" t="str">
        <f t="shared" si="42"/>
        <v>cJSON_AddItemToObject(Uha, "VAR_BMS1_CELL11_C", cJSON_CreateNumber(mVars[206]));</v>
      </c>
    </row>
    <row r="211" spans="3:16">
      <c r="C211" s="1">
        <v>207</v>
      </c>
      <c r="D211" s="1" t="str">
        <f t="shared" si="36"/>
        <v>00CF</v>
      </c>
      <c r="E211" t="s">
        <v>230</v>
      </c>
      <c r="H211" t="str">
        <f t="shared" si="37"/>
        <v>#define  VAR_BMS1_CELL12_C  207</v>
      </c>
      <c r="I211" t="str">
        <f t="shared" si="38"/>
        <v>public const byte VAR_BMS1_CELL12_C = 207;</v>
      </c>
      <c r="J211">
        <v>11</v>
      </c>
      <c r="L211" t="str">
        <f t="shared" si="41"/>
        <v>UpdateScanList(VAR_BMS1_CELL12_C, 5000);</v>
      </c>
      <c r="M211" t="str">
        <f t="shared" si="39"/>
        <v>VAR_SetVariable(VAR_BMS1_CELL12_C, Cells[11].Temp_C, validflag);</v>
      </c>
      <c r="O211" t="str">
        <f t="shared" si="40"/>
        <v>cJSON_AddItemToObject(Uha, "VAR_BMS1_CELL12_C", cJSON_CreateNumber(mVars[VAR_BMS1_CELL12_C]));</v>
      </c>
      <c r="P211" t="str">
        <f t="shared" si="42"/>
        <v>cJSON_AddItemToObject(Uha, "VAR_BMS1_CELL12_C", cJSON_CreateNumber(mVars[207]));</v>
      </c>
    </row>
    <row r="212" spans="3:16">
      <c r="C212" s="1">
        <v>208</v>
      </c>
      <c r="D212" s="1" t="str">
        <f t="shared" si="36"/>
        <v>00D0</v>
      </c>
      <c r="E212" t="s">
        <v>231</v>
      </c>
      <c r="H212" t="str">
        <f t="shared" si="37"/>
        <v>#define  VAR_BMS1_CELL13_C  208</v>
      </c>
      <c r="I212" t="str">
        <f t="shared" si="38"/>
        <v>public const byte VAR_BMS1_CELL13_C = 208;</v>
      </c>
      <c r="J212">
        <v>12</v>
      </c>
      <c r="L212" t="str">
        <f t="shared" si="41"/>
        <v>UpdateScanList(VAR_BMS1_CELL13_C, 5000);</v>
      </c>
      <c r="M212" t="str">
        <f t="shared" si="39"/>
        <v>VAR_SetVariable(VAR_BMS1_CELL13_C, Cells[12].Temp_C, validflag);</v>
      </c>
      <c r="O212" t="str">
        <f t="shared" si="40"/>
        <v>cJSON_AddItemToObject(Uha, "VAR_BMS1_CELL13_C", cJSON_CreateNumber(mVars[VAR_BMS1_CELL13_C]));</v>
      </c>
      <c r="P212" t="str">
        <f t="shared" si="42"/>
        <v>cJSON_AddItemToObject(Uha, "VAR_BMS1_CELL13_C", cJSON_CreateNumber(mVars[208]));</v>
      </c>
    </row>
    <row r="213" spans="3:16">
      <c r="C213" s="1">
        <v>209</v>
      </c>
      <c r="D213" s="1" t="str">
        <f t="shared" si="36"/>
        <v>00D1</v>
      </c>
      <c r="E213" t="s">
        <v>232</v>
      </c>
      <c r="H213" t="str">
        <f t="shared" si="37"/>
        <v>#define  VAR_BMS1_CELL14_C  209</v>
      </c>
      <c r="I213" t="str">
        <f t="shared" si="38"/>
        <v>public const byte VAR_BMS1_CELL14_C = 209;</v>
      </c>
      <c r="J213">
        <v>13</v>
      </c>
      <c r="L213" t="str">
        <f t="shared" si="41"/>
        <v>UpdateScanList(VAR_BMS1_CELL14_C, 5000);</v>
      </c>
      <c r="M213" t="str">
        <f t="shared" si="39"/>
        <v>VAR_SetVariable(VAR_BMS1_CELL14_C, Cells[13].Temp_C, validflag);</v>
      </c>
      <c r="O213" t="str">
        <f t="shared" si="40"/>
        <v>cJSON_AddItemToObject(Uha, "VAR_BMS1_CELL14_C", cJSON_CreateNumber(mVars[VAR_BMS1_CELL14_C]));</v>
      </c>
      <c r="P213" t="str">
        <f t="shared" si="42"/>
        <v>cJSON_AddItemToObject(Uha, "VAR_BMS1_CELL14_C", cJSON_CreateNumber(mVars[209]));</v>
      </c>
    </row>
    <row r="214" spans="3:16">
      <c r="C214" s="1">
        <v>210</v>
      </c>
      <c r="D214" s="1" t="str">
        <f t="shared" si="36"/>
        <v>00D2</v>
      </c>
      <c r="E214" t="s">
        <v>233</v>
      </c>
      <c r="H214" t="str">
        <f t="shared" si="37"/>
        <v>#define  VAR_BMS1_CELL15_C  210</v>
      </c>
      <c r="I214" t="str">
        <f t="shared" si="38"/>
        <v>public const byte VAR_BMS1_CELL15_C = 210;</v>
      </c>
      <c r="J214">
        <v>14</v>
      </c>
      <c r="L214" t="str">
        <f t="shared" si="41"/>
        <v>UpdateScanList(VAR_BMS1_CELL15_C, 5000);</v>
      </c>
      <c r="M214" t="str">
        <f t="shared" si="39"/>
        <v>VAR_SetVariable(VAR_BMS1_CELL15_C, Cells[14].Temp_C, validflag);</v>
      </c>
      <c r="O214" t="str">
        <f t="shared" si="40"/>
        <v>cJSON_AddItemToObject(Uha, "VAR_BMS1_CELL15_C", cJSON_CreateNumber(mVars[VAR_BMS1_CELL15_C]));</v>
      </c>
      <c r="P214" t="str">
        <f t="shared" si="42"/>
        <v>cJSON_AddItemToObject(Uha, "VAR_BMS1_CELL15_C", cJSON_CreateNumber(mVars[210]));</v>
      </c>
    </row>
    <row r="215" spans="3:16">
      <c r="C215" s="1">
        <v>211</v>
      </c>
      <c r="D215" s="1" t="str">
        <f t="shared" si="36"/>
        <v>00D3</v>
      </c>
      <c r="E215" t="s">
        <v>234</v>
      </c>
      <c r="H215" t="str">
        <f t="shared" si="37"/>
        <v>#define  VAR_BMS1_CELL16_C  211</v>
      </c>
      <c r="I215" t="str">
        <f t="shared" si="38"/>
        <v>public const byte VAR_BMS1_CELL16_C = 211;</v>
      </c>
      <c r="J215">
        <v>15</v>
      </c>
      <c r="L215" t="str">
        <f t="shared" si="41"/>
        <v>UpdateScanList(VAR_BMS1_CELL16_C, 5000);</v>
      </c>
      <c r="M215" t="str">
        <f t="shared" si="39"/>
        <v>VAR_SetVariable(VAR_BMS1_CELL16_C, Cells[15].Temp_C, validflag);</v>
      </c>
      <c r="O215" t="str">
        <f t="shared" si="40"/>
        <v>cJSON_AddItemToObject(Uha, "VAR_BMS1_CELL16_C", cJSON_CreateNumber(mVars[VAR_BMS1_CELL16_C]));</v>
      </c>
      <c r="P215" t="str">
        <f t="shared" si="42"/>
        <v>cJSON_AddItemToObject(Uha, "VAR_BMS1_CELL16_C", cJSON_CreateNumber(mVars[211]));</v>
      </c>
    </row>
    <row r="216" spans="3:16">
      <c r="C216" s="1">
        <v>212</v>
      </c>
      <c r="D216" s="1" t="str">
        <f t="shared" si="36"/>
        <v>00D4</v>
      </c>
      <c r="L216" t="str">
        <f t="shared" si="41"/>
        <v>UpdateScanList(, 5000);</v>
      </c>
      <c r="O216" t="str">
        <f t="shared" si="40"/>
        <v/>
      </c>
    </row>
    <row r="217" spans="3:16">
      <c r="C217" s="1">
        <v>213</v>
      </c>
      <c r="D217" s="1" t="str">
        <f t="shared" si="36"/>
        <v>00D5</v>
      </c>
      <c r="L217" t="str">
        <f t="shared" si="41"/>
        <v>UpdateScanList(, 5000);</v>
      </c>
      <c r="O217" t="str">
        <f t="shared" si="40"/>
        <v/>
      </c>
    </row>
    <row r="218" spans="3:16">
      <c r="C218" s="1">
        <v>214</v>
      </c>
      <c r="D218" s="1" t="str">
        <f t="shared" si="36"/>
        <v>00D6</v>
      </c>
      <c r="L218" t="str">
        <f t="shared" si="41"/>
        <v>UpdateScanList(, 5000);</v>
      </c>
      <c r="O218" t="str">
        <f t="shared" si="40"/>
        <v/>
      </c>
    </row>
    <row r="219" spans="3:16">
      <c r="C219" s="1">
        <v>215</v>
      </c>
      <c r="D219" s="1" t="str">
        <f t="shared" si="36"/>
        <v>00D7</v>
      </c>
      <c r="L219" t="str">
        <f t="shared" si="41"/>
        <v>UpdateScanList(, 5000);</v>
      </c>
      <c r="O219" t="str">
        <f t="shared" si="40"/>
        <v/>
      </c>
    </row>
    <row r="220" spans="3:16">
      <c r="C220" s="1">
        <v>216</v>
      </c>
      <c r="D220" s="1" t="str">
        <f t="shared" si="36"/>
        <v>00D8</v>
      </c>
      <c r="L220" t="str">
        <f t="shared" si="41"/>
        <v>UpdateScanList(, 5000);</v>
      </c>
      <c r="O220" t="str">
        <f t="shared" si="40"/>
        <v/>
      </c>
    </row>
    <row r="221" spans="3:16">
      <c r="C221" s="1">
        <v>217</v>
      </c>
      <c r="D221" s="1" t="str">
        <f t="shared" si="36"/>
        <v>00D9</v>
      </c>
      <c r="L221" t="str">
        <f t="shared" si="41"/>
        <v>UpdateScanList(, 5000);</v>
      </c>
      <c r="O221" t="str">
        <f t="shared" si="40"/>
        <v/>
      </c>
    </row>
    <row r="222" spans="3:16">
      <c r="C222" s="1">
        <v>218</v>
      </c>
      <c r="D222" s="1" t="str">
        <f t="shared" si="36"/>
        <v>00DA</v>
      </c>
      <c r="L222" t="str">
        <f t="shared" si="41"/>
        <v>UpdateScanList(, 5000);</v>
      </c>
      <c r="O222" t="str">
        <f t="shared" si="40"/>
        <v/>
      </c>
    </row>
    <row r="223" spans="3:16">
      <c r="C223" s="1">
        <v>219</v>
      </c>
      <c r="D223" s="1" t="str">
        <f t="shared" si="36"/>
        <v>00DB</v>
      </c>
      <c r="L223" t="str">
        <f t="shared" si="41"/>
        <v>UpdateScanList(, 5000);</v>
      </c>
      <c r="O223" t="str">
        <f t="shared" si="40"/>
        <v/>
      </c>
    </row>
    <row r="224" spans="3:16">
      <c r="C224" s="1">
        <v>220</v>
      </c>
      <c r="D224" s="1" t="str">
        <f t="shared" si="36"/>
        <v>00DC</v>
      </c>
      <c r="E224" t="s">
        <v>203</v>
      </c>
      <c r="H224" t="str">
        <f t="shared" si="37"/>
        <v>#define  VAR_BMS2_CELL1_MV  220</v>
      </c>
      <c r="I224" t="str">
        <f t="shared" si="38"/>
        <v>public const byte VAR_BMS2_CELL1_MV = 220;</v>
      </c>
      <c r="J224">
        <v>0</v>
      </c>
      <c r="L224" t="str">
        <f t="shared" si="41"/>
        <v>UpdateScanList(VAR_BMS2_CELL1_MV, 5000);</v>
      </c>
      <c r="M224" t="str">
        <f t="shared" si="35"/>
        <v>VAR_SetVariable(VAR_BMS2_CELL1_MV, Cells[0].Voltage_mV, validflag);</v>
      </c>
      <c r="O224" t="str">
        <f t="shared" si="40"/>
        <v>cJSON_AddItemToObject(Uha, "VAR_BMS2_CELL1_MV", cJSON_CreateNumber(mVars[VAR_BMS2_CELL1_MV]));</v>
      </c>
      <c r="P224" t="str">
        <f t="shared" si="42"/>
        <v>cJSON_AddItemToObject(Uha, "VAR_BMS2_CELL1_MV", cJSON_CreateNumber(mVars[220]));</v>
      </c>
    </row>
    <row r="225" spans="3:16">
      <c r="C225" s="1">
        <v>221</v>
      </c>
      <c r="D225" s="1" t="str">
        <f t="shared" si="36"/>
        <v>00DD</v>
      </c>
      <c r="E225" t="s">
        <v>204</v>
      </c>
      <c r="H225" t="str">
        <f t="shared" si="37"/>
        <v>#define  VAR_BMS2_CELL2_MV  221</v>
      </c>
      <c r="I225" t="str">
        <f t="shared" si="38"/>
        <v>public const byte VAR_BMS2_CELL2_MV = 221;</v>
      </c>
      <c r="J225">
        <v>1</v>
      </c>
      <c r="L225" t="str">
        <f t="shared" si="41"/>
        <v>UpdateScanList(VAR_BMS2_CELL2_MV, 5000);</v>
      </c>
      <c r="M225" t="str">
        <f t="shared" si="35"/>
        <v>VAR_SetVariable(VAR_BMS2_CELL2_MV, Cells[1].Voltage_mV, validflag);</v>
      </c>
      <c r="O225" t="str">
        <f t="shared" si="40"/>
        <v>cJSON_AddItemToObject(Uha, "VAR_BMS2_CELL2_MV", cJSON_CreateNumber(mVars[VAR_BMS2_CELL2_MV]));</v>
      </c>
      <c r="P225" t="str">
        <f t="shared" si="42"/>
        <v>cJSON_AddItemToObject(Uha, "VAR_BMS2_CELL2_MV", cJSON_CreateNumber(mVars[221]));</v>
      </c>
    </row>
    <row r="226" spans="3:16">
      <c r="C226" s="1">
        <v>222</v>
      </c>
      <c r="D226" s="1" t="str">
        <f t="shared" si="36"/>
        <v>00DE</v>
      </c>
      <c r="E226" t="s">
        <v>205</v>
      </c>
      <c r="H226" t="str">
        <f t="shared" si="37"/>
        <v>#define  VAR_BMS2_CELL3_MV  222</v>
      </c>
      <c r="I226" t="str">
        <f t="shared" si="38"/>
        <v>public const byte VAR_BMS2_CELL3_MV = 222;</v>
      </c>
      <c r="J226">
        <v>2</v>
      </c>
      <c r="L226" t="str">
        <f t="shared" si="41"/>
        <v>UpdateScanList(VAR_BMS2_CELL3_MV, 5000);</v>
      </c>
      <c r="M226" t="str">
        <f t="shared" si="35"/>
        <v>VAR_SetVariable(VAR_BMS2_CELL3_MV, Cells[2].Voltage_mV, validflag);</v>
      </c>
      <c r="O226" t="str">
        <f t="shared" si="40"/>
        <v>cJSON_AddItemToObject(Uha, "VAR_BMS2_CELL3_MV", cJSON_CreateNumber(mVars[VAR_BMS2_CELL3_MV]));</v>
      </c>
      <c r="P226" t="str">
        <f t="shared" si="42"/>
        <v>cJSON_AddItemToObject(Uha, "VAR_BMS2_CELL3_MV", cJSON_CreateNumber(mVars[222]));</v>
      </c>
    </row>
    <row r="227" spans="3:16">
      <c r="C227" s="1">
        <v>223</v>
      </c>
      <c r="D227" s="1" t="str">
        <f t="shared" si="36"/>
        <v>00DF</v>
      </c>
      <c r="E227" t="s">
        <v>206</v>
      </c>
      <c r="H227" t="str">
        <f t="shared" si="37"/>
        <v>#define  VAR_BMS2_CELL4_MV  223</v>
      </c>
      <c r="I227" t="str">
        <f t="shared" si="38"/>
        <v>public const byte VAR_BMS2_CELL4_MV = 223;</v>
      </c>
      <c r="J227">
        <v>3</v>
      </c>
      <c r="L227" t="str">
        <f t="shared" si="41"/>
        <v>UpdateScanList(VAR_BMS2_CELL4_MV, 5000);</v>
      </c>
      <c r="M227" t="str">
        <f t="shared" si="35"/>
        <v>VAR_SetVariable(VAR_BMS2_CELL4_MV, Cells[3].Voltage_mV, validflag);</v>
      </c>
      <c r="O227" t="str">
        <f t="shared" si="40"/>
        <v>cJSON_AddItemToObject(Uha, "VAR_BMS2_CELL4_MV", cJSON_CreateNumber(mVars[VAR_BMS2_CELL4_MV]));</v>
      </c>
      <c r="P227" t="str">
        <f t="shared" si="42"/>
        <v>cJSON_AddItemToObject(Uha, "VAR_BMS2_CELL4_MV", cJSON_CreateNumber(mVars[223]));</v>
      </c>
    </row>
    <row r="228" spans="3:16">
      <c r="C228" s="1">
        <v>224</v>
      </c>
      <c r="D228" s="1" t="str">
        <f t="shared" si="36"/>
        <v>00E0</v>
      </c>
      <c r="E228" t="s">
        <v>207</v>
      </c>
      <c r="H228" t="str">
        <f t="shared" si="37"/>
        <v>#define  VAR_BMS2_CELL5_MV  224</v>
      </c>
      <c r="I228" t="str">
        <f t="shared" si="38"/>
        <v>public const byte VAR_BMS2_CELL5_MV = 224;</v>
      </c>
      <c r="J228">
        <v>4</v>
      </c>
      <c r="L228" t="str">
        <f t="shared" si="41"/>
        <v>UpdateScanList(VAR_BMS2_CELL5_MV, 5000);</v>
      </c>
      <c r="M228" t="str">
        <f t="shared" si="35"/>
        <v>VAR_SetVariable(VAR_BMS2_CELL5_MV, Cells[4].Voltage_mV, validflag);</v>
      </c>
      <c r="O228" t="str">
        <f t="shared" si="40"/>
        <v>cJSON_AddItemToObject(Uha, "VAR_BMS2_CELL5_MV", cJSON_CreateNumber(mVars[VAR_BMS2_CELL5_MV]));</v>
      </c>
      <c r="P228" t="str">
        <f t="shared" si="42"/>
        <v>cJSON_AddItemToObject(Uha, "VAR_BMS2_CELL5_MV", cJSON_CreateNumber(mVars[224]));</v>
      </c>
    </row>
    <row r="229" spans="3:16">
      <c r="C229" s="1">
        <v>225</v>
      </c>
      <c r="D229" s="1" t="str">
        <f t="shared" si="36"/>
        <v>00E1</v>
      </c>
      <c r="E229" t="s">
        <v>208</v>
      </c>
      <c r="H229" t="str">
        <f t="shared" si="37"/>
        <v>#define  VAR_BMS2_CELL6_MV  225</v>
      </c>
      <c r="I229" t="str">
        <f t="shared" si="38"/>
        <v>public const byte VAR_BMS2_CELL6_MV = 225;</v>
      </c>
      <c r="J229">
        <v>5</v>
      </c>
      <c r="L229" t="str">
        <f t="shared" si="41"/>
        <v>UpdateScanList(VAR_BMS2_CELL6_MV, 5000);</v>
      </c>
      <c r="M229" t="str">
        <f t="shared" si="35"/>
        <v>VAR_SetVariable(VAR_BMS2_CELL6_MV, Cells[5].Voltage_mV, validflag);</v>
      </c>
      <c r="O229" t="str">
        <f t="shared" si="40"/>
        <v>cJSON_AddItemToObject(Uha, "VAR_BMS2_CELL6_MV", cJSON_CreateNumber(mVars[VAR_BMS2_CELL6_MV]));</v>
      </c>
      <c r="P229" t="str">
        <f t="shared" si="42"/>
        <v>cJSON_AddItemToObject(Uha, "VAR_BMS2_CELL6_MV", cJSON_CreateNumber(mVars[225]));</v>
      </c>
    </row>
    <row r="230" spans="3:16">
      <c r="C230" s="1">
        <v>226</v>
      </c>
      <c r="D230" s="1" t="str">
        <f t="shared" si="36"/>
        <v>00E2</v>
      </c>
      <c r="E230" t="s">
        <v>209</v>
      </c>
      <c r="H230" t="str">
        <f t="shared" si="37"/>
        <v>#define  VAR_BMS2_CELL7_MV  226</v>
      </c>
      <c r="I230" t="str">
        <f t="shared" si="38"/>
        <v>public const byte VAR_BMS2_CELL7_MV = 226;</v>
      </c>
      <c r="J230">
        <v>6</v>
      </c>
      <c r="L230" t="str">
        <f t="shared" si="41"/>
        <v>UpdateScanList(VAR_BMS2_CELL7_MV, 5000);</v>
      </c>
      <c r="M230" t="str">
        <f t="shared" si="35"/>
        <v>VAR_SetVariable(VAR_BMS2_CELL7_MV, Cells[6].Voltage_mV, validflag);</v>
      </c>
      <c r="O230" t="str">
        <f t="shared" si="40"/>
        <v>cJSON_AddItemToObject(Uha, "VAR_BMS2_CELL7_MV", cJSON_CreateNumber(mVars[VAR_BMS2_CELL7_MV]));</v>
      </c>
      <c r="P230" t="str">
        <f t="shared" si="42"/>
        <v>cJSON_AddItemToObject(Uha, "VAR_BMS2_CELL7_MV", cJSON_CreateNumber(mVars[226]));</v>
      </c>
    </row>
    <row r="231" spans="3:16">
      <c r="C231" s="1">
        <v>227</v>
      </c>
      <c r="D231" s="1" t="str">
        <f t="shared" si="36"/>
        <v>00E3</v>
      </c>
      <c r="E231" t="s">
        <v>210</v>
      </c>
      <c r="H231" t="str">
        <f t="shared" si="37"/>
        <v>#define  VAR_BMS2_CELL8_MV  227</v>
      </c>
      <c r="I231" t="str">
        <f t="shared" si="38"/>
        <v>public const byte VAR_BMS2_CELL8_MV = 227;</v>
      </c>
      <c r="J231">
        <v>7</v>
      </c>
      <c r="L231" t="str">
        <f t="shared" si="41"/>
        <v>UpdateScanList(VAR_BMS2_CELL8_MV, 5000);</v>
      </c>
      <c r="M231" t="str">
        <f t="shared" si="35"/>
        <v>VAR_SetVariable(VAR_BMS2_CELL8_MV, Cells[7].Voltage_mV, validflag);</v>
      </c>
      <c r="O231" t="str">
        <f t="shared" si="40"/>
        <v>cJSON_AddItemToObject(Uha, "VAR_BMS2_CELL8_MV", cJSON_CreateNumber(mVars[VAR_BMS2_CELL8_MV]));</v>
      </c>
      <c r="P231" t="str">
        <f t="shared" si="42"/>
        <v>cJSON_AddItemToObject(Uha, "VAR_BMS2_CELL8_MV", cJSON_CreateNumber(mVars[227]));</v>
      </c>
    </row>
    <row r="232" spans="3:16">
      <c r="C232" s="1">
        <v>228</v>
      </c>
      <c r="D232" s="1" t="str">
        <f t="shared" si="36"/>
        <v>00E4</v>
      </c>
      <c r="E232" t="s">
        <v>211</v>
      </c>
      <c r="H232" t="str">
        <f t="shared" si="37"/>
        <v>#define  VAR_BMS2_CELL9_MV  228</v>
      </c>
      <c r="I232" t="str">
        <f t="shared" si="38"/>
        <v>public const byte VAR_BMS2_CELL9_MV = 228;</v>
      </c>
      <c r="J232">
        <v>8</v>
      </c>
      <c r="L232" t="str">
        <f t="shared" si="41"/>
        <v>UpdateScanList(VAR_BMS2_CELL9_MV, 5000);</v>
      </c>
      <c r="M232" t="str">
        <f t="shared" si="35"/>
        <v>VAR_SetVariable(VAR_BMS2_CELL9_MV, Cells[8].Voltage_mV, validflag);</v>
      </c>
      <c r="O232" t="str">
        <f t="shared" si="40"/>
        <v>cJSON_AddItemToObject(Uha, "VAR_BMS2_CELL9_MV", cJSON_CreateNumber(mVars[VAR_BMS2_CELL9_MV]));</v>
      </c>
      <c r="P232" t="str">
        <f t="shared" si="42"/>
        <v>cJSON_AddItemToObject(Uha, "VAR_BMS2_CELL9_MV", cJSON_CreateNumber(mVars[228]));</v>
      </c>
    </row>
    <row r="233" spans="3:16">
      <c r="C233" s="1">
        <v>229</v>
      </c>
      <c r="D233" s="1" t="str">
        <f t="shared" si="36"/>
        <v>00E5</v>
      </c>
      <c r="E233" t="s">
        <v>212</v>
      </c>
      <c r="H233" t="str">
        <f t="shared" si="37"/>
        <v>#define  VAR_BMS2_CELL10_MV  229</v>
      </c>
      <c r="I233" t="str">
        <f t="shared" si="38"/>
        <v>public const byte VAR_BMS2_CELL10_MV = 229;</v>
      </c>
      <c r="J233">
        <v>9</v>
      </c>
      <c r="L233" t="str">
        <f t="shared" si="41"/>
        <v>UpdateScanList(VAR_BMS2_CELL10_MV, 5000);</v>
      </c>
      <c r="M233" t="str">
        <f t="shared" si="35"/>
        <v>VAR_SetVariable(VAR_BMS2_CELL10_MV, Cells[9].Voltage_mV, validflag);</v>
      </c>
      <c r="O233" t="str">
        <f t="shared" si="40"/>
        <v>cJSON_AddItemToObject(Uha, "VAR_BMS2_CELL10_MV", cJSON_CreateNumber(mVars[VAR_BMS2_CELL10_MV]));</v>
      </c>
      <c r="P233" t="str">
        <f t="shared" si="42"/>
        <v>cJSON_AddItemToObject(Uha, "VAR_BMS2_CELL10_MV", cJSON_CreateNumber(mVars[229]));</v>
      </c>
    </row>
    <row r="234" spans="3:16">
      <c r="C234" s="1">
        <v>230</v>
      </c>
      <c r="D234" s="1" t="str">
        <f t="shared" si="36"/>
        <v>00E6</v>
      </c>
      <c r="E234" t="s">
        <v>213</v>
      </c>
      <c r="H234" t="str">
        <f t="shared" si="37"/>
        <v>#define  VAR_BMS2_CELL11_MV  230</v>
      </c>
      <c r="I234" t="str">
        <f t="shared" si="38"/>
        <v>public const byte VAR_BMS2_CELL11_MV = 230;</v>
      </c>
      <c r="J234">
        <v>10</v>
      </c>
      <c r="L234" t="str">
        <f t="shared" si="41"/>
        <v>UpdateScanList(VAR_BMS2_CELL11_MV, 5000);</v>
      </c>
      <c r="M234" t="str">
        <f t="shared" si="35"/>
        <v>VAR_SetVariable(VAR_BMS2_CELL11_MV, Cells[10].Voltage_mV, validflag);</v>
      </c>
      <c r="O234" t="str">
        <f t="shared" si="40"/>
        <v>cJSON_AddItemToObject(Uha, "VAR_BMS2_CELL11_MV", cJSON_CreateNumber(mVars[VAR_BMS2_CELL11_MV]));</v>
      </c>
      <c r="P234" t="str">
        <f t="shared" si="42"/>
        <v>cJSON_AddItemToObject(Uha, "VAR_BMS2_CELL11_MV", cJSON_CreateNumber(mVars[230]));</v>
      </c>
    </row>
    <row r="235" spans="3:16">
      <c r="C235" s="1">
        <v>231</v>
      </c>
      <c r="D235" s="1" t="str">
        <f t="shared" si="36"/>
        <v>00E7</v>
      </c>
      <c r="E235" t="s">
        <v>214</v>
      </c>
      <c r="H235" t="str">
        <f t="shared" si="37"/>
        <v>#define  VAR_BMS2_CELL12_MV  231</v>
      </c>
      <c r="I235" t="str">
        <f t="shared" si="38"/>
        <v>public const byte VAR_BMS2_CELL12_MV = 231;</v>
      </c>
      <c r="J235">
        <v>11</v>
      </c>
      <c r="L235" t="str">
        <f t="shared" si="41"/>
        <v>UpdateScanList(VAR_BMS2_CELL12_MV, 5000);</v>
      </c>
      <c r="M235" t="str">
        <f t="shared" si="35"/>
        <v>VAR_SetVariable(VAR_BMS2_CELL12_MV, Cells[11].Voltage_mV, validflag);</v>
      </c>
      <c r="O235" t="str">
        <f t="shared" si="40"/>
        <v>cJSON_AddItemToObject(Uha, "VAR_BMS2_CELL12_MV", cJSON_CreateNumber(mVars[VAR_BMS2_CELL12_MV]));</v>
      </c>
      <c r="P235" t="str">
        <f t="shared" si="42"/>
        <v>cJSON_AddItemToObject(Uha, "VAR_BMS2_CELL12_MV", cJSON_CreateNumber(mVars[231]));</v>
      </c>
    </row>
    <row r="236" spans="3:16">
      <c r="C236" s="1">
        <v>232</v>
      </c>
      <c r="D236" s="1" t="str">
        <f t="shared" si="36"/>
        <v>00E8</v>
      </c>
      <c r="E236" t="s">
        <v>215</v>
      </c>
      <c r="H236" t="str">
        <f t="shared" si="37"/>
        <v>#define  VAR_BMS2_CELL13_MV  232</v>
      </c>
      <c r="I236" t="str">
        <f t="shared" si="38"/>
        <v>public const byte VAR_BMS2_CELL13_MV = 232;</v>
      </c>
      <c r="J236">
        <v>12</v>
      </c>
      <c r="L236" t="str">
        <f t="shared" si="41"/>
        <v>UpdateScanList(VAR_BMS2_CELL13_MV, 5000);</v>
      </c>
      <c r="M236" t="str">
        <f t="shared" si="35"/>
        <v>VAR_SetVariable(VAR_BMS2_CELL13_MV, Cells[12].Voltage_mV, validflag);</v>
      </c>
      <c r="O236" t="str">
        <f t="shared" si="40"/>
        <v>cJSON_AddItemToObject(Uha, "VAR_BMS2_CELL13_MV", cJSON_CreateNumber(mVars[VAR_BMS2_CELL13_MV]));</v>
      </c>
      <c r="P236" t="str">
        <f t="shared" si="42"/>
        <v>cJSON_AddItemToObject(Uha, "VAR_BMS2_CELL13_MV", cJSON_CreateNumber(mVars[232]));</v>
      </c>
    </row>
    <row r="237" spans="3:16">
      <c r="C237" s="1">
        <v>233</v>
      </c>
      <c r="D237" s="1" t="str">
        <f t="shared" si="36"/>
        <v>00E9</v>
      </c>
      <c r="E237" t="s">
        <v>216</v>
      </c>
      <c r="H237" t="str">
        <f t="shared" si="37"/>
        <v>#define  VAR_BMS2_CELL14_MV  233</v>
      </c>
      <c r="I237" t="str">
        <f t="shared" si="38"/>
        <v>public const byte VAR_BMS2_CELL14_MV = 233;</v>
      </c>
      <c r="J237">
        <v>13</v>
      </c>
      <c r="L237" t="str">
        <f t="shared" si="41"/>
        <v>UpdateScanList(VAR_BMS2_CELL14_MV, 5000);</v>
      </c>
      <c r="M237" t="str">
        <f t="shared" si="35"/>
        <v>VAR_SetVariable(VAR_BMS2_CELL14_MV, Cells[13].Voltage_mV, validflag);</v>
      </c>
      <c r="O237" t="str">
        <f t="shared" si="40"/>
        <v>cJSON_AddItemToObject(Uha, "VAR_BMS2_CELL14_MV", cJSON_CreateNumber(mVars[VAR_BMS2_CELL14_MV]));</v>
      </c>
      <c r="P237" t="str">
        <f t="shared" si="42"/>
        <v>cJSON_AddItemToObject(Uha, "VAR_BMS2_CELL14_MV", cJSON_CreateNumber(mVars[233]));</v>
      </c>
    </row>
    <row r="238" spans="3:16">
      <c r="C238" s="1">
        <v>234</v>
      </c>
      <c r="D238" s="1" t="str">
        <f t="shared" si="36"/>
        <v>00EA</v>
      </c>
      <c r="E238" t="s">
        <v>217</v>
      </c>
      <c r="H238" t="str">
        <f t="shared" si="37"/>
        <v>#define  VAR_BMS2_CELL15_MV  234</v>
      </c>
      <c r="I238" t="str">
        <f t="shared" si="38"/>
        <v>public const byte VAR_BMS2_CELL15_MV = 234;</v>
      </c>
      <c r="J238">
        <v>14</v>
      </c>
      <c r="L238" t="str">
        <f t="shared" si="41"/>
        <v>UpdateScanList(VAR_BMS2_CELL15_MV, 5000);</v>
      </c>
      <c r="M238" t="str">
        <f t="shared" si="35"/>
        <v>VAR_SetVariable(VAR_BMS2_CELL15_MV, Cells[14].Voltage_mV, validflag);</v>
      </c>
      <c r="O238" t="str">
        <f t="shared" si="40"/>
        <v>cJSON_AddItemToObject(Uha, "VAR_BMS2_CELL15_MV", cJSON_CreateNumber(mVars[VAR_BMS2_CELL15_MV]));</v>
      </c>
      <c r="P238" t="str">
        <f t="shared" si="42"/>
        <v>cJSON_AddItemToObject(Uha, "VAR_BMS2_CELL15_MV", cJSON_CreateNumber(mVars[234]));</v>
      </c>
    </row>
    <row r="239" spans="3:16">
      <c r="C239" s="1">
        <v>235</v>
      </c>
      <c r="D239" s="1" t="str">
        <f t="shared" si="36"/>
        <v>00EB</v>
      </c>
      <c r="E239" t="s">
        <v>218</v>
      </c>
      <c r="H239" t="str">
        <f t="shared" si="37"/>
        <v>#define  VAR_BMS2_CELL16_MV  235</v>
      </c>
      <c r="I239" t="str">
        <f t="shared" si="38"/>
        <v>public const byte VAR_BMS2_CELL16_MV = 235;</v>
      </c>
      <c r="J239">
        <v>15</v>
      </c>
      <c r="L239" t="str">
        <f t="shared" si="41"/>
        <v>UpdateScanList(VAR_BMS2_CELL16_MV, 5000);</v>
      </c>
      <c r="M239" t="str">
        <f t="shared" si="35"/>
        <v>VAR_SetVariable(VAR_BMS2_CELL16_MV, Cells[15].Voltage_mV, validflag);</v>
      </c>
      <c r="O239" t="str">
        <f t="shared" si="40"/>
        <v>cJSON_AddItemToObject(Uha, "VAR_BMS2_CELL16_MV", cJSON_CreateNumber(mVars[VAR_BMS2_CELL16_MV]));</v>
      </c>
      <c r="P239" t="str">
        <f t="shared" si="42"/>
        <v>cJSON_AddItemToObject(Uha, "VAR_BMS2_CELL16_MV", cJSON_CreateNumber(mVars[235]));</v>
      </c>
    </row>
    <row r="240" spans="3:16">
      <c r="C240" s="1">
        <v>236</v>
      </c>
      <c r="D240" s="1" t="str">
        <f t="shared" si="36"/>
        <v>00EC</v>
      </c>
      <c r="E240" t="s">
        <v>235</v>
      </c>
      <c r="H240" t="str">
        <f t="shared" si="37"/>
        <v>#define  VAR_BMS2_CELL1_C  236</v>
      </c>
      <c r="I240" t="str">
        <f t="shared" si="38"/>
        <v>public const byte VAR_BMS2_CELL1_C = 236;</v>
      </c>
      <c r="J240">
        <v>0</v>
      </c>
      <c r="L240" t="str">
        <f t="shared" si="41"/>
        <v>UpdateScanList(VAR_BMS2_CELL1_C, 5000);</v>
      </c>
      <c r="M240" t="str">
        <f>CONCATENATE("VAR_SetVariable(",E240,", Cells[",J240,"].Temp_C", ", validflag);")</f>
        <v>VAR_SetVariable(VAR_BMS2_CELL1_C, Cells[0].Temp_C, validflag);</v>
      </c>
      <c r="O240" t="str">
        <f t="shared" si="40"/>
        <v>cJSON_AddItemToObject(Uha, "VAR_BMS2_CELL1_C", cJSON_CreateNumber(mVars[VAR_BMS2_CELL1_C]));</v>
      </c>
      <c r="P240" t="str">
        <f t="shared" si="42"/>
        <v>cJSON_AddItemToObject(Uha, "VAR_BMS2_CELL1_C", cJSON_CreateNumber(mVars[236]));</v>
      </c>
    </row>
    <row r="241" spans="3:16">
      <c r="C241" s="1">
        <v>237</v>
      </c>
      <c r="D241" s="1" t="str">
        <f t="shared" si="36"/>
        <v>00ED</v>
      </c>
      <c r="E241" t="s">
        <v>236</v>
      </c>
      <c r="H241" t="str">
        <f t="shared" si="37"/>
        <v>#define  VAR_BMS2_CELL2_C  237</v>
      </c>
      <c r="I241" t="str">
        <f t="shared" si="38"/>
        <v>public const byte VAR_BMS2_CELL2_C = 237;</v>
      </c>
      <c r="J241">
        <v>1</v>
      </c>
      <c r="L241" t="str">
        <f t="shared" si="41"/>
        <v>UpdateScanList(VAR_BMS2_CELL2_C, 5000);</v>
      </c>
      <c r="M241" t="str">
        <f t="shared" ref="M241:M255" si="43">CONCATENATE("VAR_SetVariable(",E241,", Cells[",J241,"].Temp_C", ", validflag);")</f>
        <v>VAR_SetVariable(VAR_BMS2_CELL2_C, Cells[1].Temp_C, validflag);</v>
      </c>
      <c r="O241" t="str">
        <f t="shared" si="40"/>
        <v>cJSON_AddItemToObject(Uha, "VAR_BMS2_CELL2_C", cJSON_CreateNumber(mVars[VAR_BMS2_CELL2_C]));</v>
      </c>
      <c r="P241" t="str">
        <f t="shared" si="42"/>
        <v>cJSON_AddItemToObject(Uha, "VAR_BMS2_CELL2_C", cJSON_CreateNumber(mVars[237]));</v>
      </c>
    </row>
    <row r="242" spans="3:16">
      <c r="C242" s="1">
        <v>238</v>
      </c>
      <c r="D242" s="1" t="str">
        <f t="shared" si="36"/>
        <v>00EE</v>
      </c>
      <c r="E242" t="s">
        <v>237</v>
      </c>
      <c r="H242" t="str">
        <f t="shared" si="37"/>
        <v>#define  VAR_BMS2_CELL3_C  238</v>
      </c>
      <c r="I242" t="str">
        <f t="shared" si="38"/>
        <v>public const byte VAR_BMS2_CELL3_C = 238;</v>
      </c>
      <c r="J242">
        <v>2</v>
      </c>
      <c r="L242" t="str">
        <f t="shared" si="41"/>
        <v>UpdateScanList(VAR_BMS2_CELL3_C, 5000);</v>
      </c>
      <c r="M242" t="str">
        <f t="shared" si="43"/>
        <v>VAR_SetVariable(VAR_BMS2_CELL3_C, Cells[2].Temp_C, validflag);</v>
      </c>
      <c r="O242" t="str">
        <f t="shared" si="40"/>
        <v>cJSON_AddItemToObject(Uha, "VAR_BMS2_CELL3_C", cJSON_CreateNumber(mVars[VAR_BMS2_CELL3_C]));</v>
      </c>
      <c r="P242" t="str">
        <f t="shared" si="42"/>
        <v>cJSON_AddItemToObject(Uha, "VAR_BMS2_CELL3_C", cJSON_CreateNumber(mVars[238]));</v>
      </c>
    </row>
    <row r="243" spans="3:16">
      <c r="C243" s="1">
        <v>239</v>
      </c>
      <c r="D243" s="1" t="str">
        <f t="shared" si="36"/>
        <v>00EF</v>
      </c>
      <c r="E243" t="s">
        <v>238</v>
      </c>
      <c r="H243" t="str">
        <f t="shared" si="37"/>
        <v>#define  VAR_BMS2_CELL4_C  239</v>
      </c>
      <c r="I243" t="str">
        <f t="shared" si="38"/>
        <v>public const byte VAR_BMS2_CELL4_C = 239;</v>
      </c>
      <c r="J243">
        <v>3</v>
      </c>
      <c r="L243" t="str">
        <f t="shared" si="41"/>
        <v>UpdateScanList(VAR_BMS2_CELL4_C, 5000);</v>
      </c>
      <c r="M243" t="str">
        <f t="shared" si="43"/>
        <v>VAR_SetVariable(VAR_BMS2_CELL4_C, Cells[3].Temp_C, validflag);</v>
      </c>
      <c r="O243" t="str">
        <f t="shared" si="40"/>
        <v>cJSON_AddItemToObject(Uha, "VAR_BMS2_CELL4_C", cJSON_CreateNumber(mVars[VAR_BMS2_CELL4_C]));</v>
      </c>
      <c r="P243" t="str">
        <f t="shared" si="42"/>
        <v>cJSON_AddItemToObject(Uha, "VAR_BMS2_CELL4_C", cJSON_CreateNumber(mVars[239]));</v>
      </c>
    </row>
    <row r="244" spans="3:16">
      <c r="C244" s="1">
        <v>240</v>
      </c>
      <c r="D244" s="1" t="str">
        <f t="shared" si="36"/>
        <v>00F0</v>
      </c>
      <c r="E244" t="s">
        <v>239</v>
      </c>
      <c r="H244" t="str">
        <f t="shared" si="37"/>
        <v>#define  VAR_BMS2_CELL5_C  240</v>
      </c>
      <c r="I244" t="str">
        <f t="shared" si="38"/>
        <v>public const byte VAR_BMS2_CELL5_C = 240;</v>
      </c>
      <c r="J244">
        <v>4</v>
      </c>
      <c r="L244" t="str">
        <f t="shared" si="41"/>
        <v>UpdateScanList(VAR_BMS2_CELL5_C, 5000);</v>
      </c>
      <c r="M244" t="str">
        <f t="shared" si="43"/>
        <v>VAR_SetVariable(VAR_BMS2_CELL5_C, Cells[4].Temp_C, validflag);</v>
      </c>
      <c r="O244" t="str">
        <f t="shared" si="40"/>
        <v>cJSON_AddItemToObject(Uha, "VAR_BMS2_CELL5_C", cJSON_CreateNumber(mVars[VAR_BMS2_CELL5_C]));</v>
      </c>
      <c r="P244" t="str">
        <f t="shared" si="42"/>
        <v>cJSON_AddItemToObject(Uha, "VAR_BMS2_CELL5_C", cJSON_CreateNumber(mVars[240]));</v>
      </c>
    </row>
    <row r="245" spans="3:16">
      <c r="C245" s="1">
        <v>241</v>
      </c>
      <c r="D245" s="1" t="str">
        <f t="shared" si="36"/>
        <v>00F1</v>
      </c>
      <c r="E245" t="s">
        <v>240</v>
      </c>
      <c r="H245" t="str">
        <f t="shared" si="37"/>
        <v>#define  VAR_BMS2_CELL6_C  241</v>
      </c>
      <c r="I245" t="str">
        <f t="shared" si="38"/>
        <v>public const byte VAR_BMS2_CELL6_C = 241;</v>
      </c>
      <c r="J245">
        <v>5</v>
      </c>
      <c r="L245" t="str">
        <f t="shared" si="41"/>
        <v>UpdateScanList(VAR_BMS2_CELL6_C, 5000);</v>
      </c>
      <c r="M245" t="str">
        <f t="shared" si="43"/>
        <v>VAR_SetVariable(VAR_BMS2_CELL6_C, Cells[5].Temp_C, validflag);</v>
      </c>
      <c r="O245" t="str">
        <f t="shared" si="40"/>
        <v>cJSON_AddItemToObject(Uha, "VAR_BMS2_CELL6_C", cJSON_CreateNumber(mVars[VAR_BMS2_CELL6_C]));</v>
      </c>
      <c r="P245" t="str">
        <f t="shared" si="42"/>
        <v>cJSON_AddItemToObject(Uha, "VAR_BMS2_CELL6_C", cJSON_CreateNumber(mVars[241]));</v>
      </c>
    </row>
    <row r="246" spans="3:16">
      <c r="C246" s="1">
        <v>242</v>
      </c>
      <c r="D246" s="1" t="str">
        <f t="shared" si="36"/>
        <v>00F2</v>
      </c>
      <c r="E246" t="s">
        <v>241</v>
      </c>
      <c r="H246" t="str">
        <f t="shared" si="37"/>
        <v>#define  VAR_BMS2_CELL7_C  242</v>
      </c>
      <c r="I246" t="str">
        <f t="shared" si="38"/>
        <v>public const byte VAR_BMS2_CELL7_C = 242;</v>
      </c>
      <c r="J246">
        <v>6</v>
      </c>
      <c r="L246" t="str">
        <f t="shared" si="41"/>
        <v>UpdateScanList(VAR_BMS2_CELL7_C, 5000);</v>
      </c>
      <c r="M246" t="str">
        <f t="shared" si="43"/>
        <v>VAR_SetVariable(VAR_BMS2_CELL7_C, Cells[6].Temp_C, validflag);</v>
      </c>
      <c r="O246" t="str">
        <f t="shared" si="40"/>
        <v>cJSON_AddItemToObject(Uha, "VAR_BMS2_CELL7_C", cJSON_CreateNumber(mVars[VAR_BMS2_CELL7_C]));</v>
      </c>
      <c r="P246" t="str">
        <f t="shared" si="42"/>
        <v>cJSON_AddItemToObject(Uha, "VAR_BMS2_CELL7_C", cJSON_CreateNumber(mVars[242]));</v>
      </c>
    </row>
    <row r="247" spans="3:16">
      <c r="C247" s="1">
        <v>243</v>
      </c>
      <c r="D247" s="1" t="str">
        <f t="shared" si="36"/>
        <v>00F3</v>
      </c>
      <c r="E247" t="s">
        <v>242</v>
      </c>
      <c r="H247" t="str">
        <f t="shared" si="37"/>
        <v>#define  VAR_BMS2_CELL8_C  243</v>
      </c>
      <c r="I247" t="str">
        <f t="shared" si="38"/>
        <v>public const byte VAR_BMS2_CELL8_C = 243;</v>
      </c>
      <c r="J247">
        <v>7</v>
      </c>
      <c r="L247" t="str">
        <f t="shared" si="41"/>
        <v>UpdateScanList(VAR_BMS2_CELL8_C, 5000);</v>
      </c>
      <c r="M247" t="str">
        <f t="shared" si="43"/>
        <v>VAR_SetVariable(VAR_BMS2_CELL8_C, Cells[7].Temp_C, validflag);</v>
      </c>
      <c r="O247" t="str">
        <f t="shared" si="40"/>
        <v>cJSON_AddItemToObject(Uha, "VAR_BMS2_CELL8_C", cJSON_CreateNumber(mVars[VAR_BMS2_CELL8_C]));</v>
      </c>
      <c r="P247" t="str">
        <f t="shared" si="42"/>
        <v>cJSON_AddItemToObject(Uha, "VAR_BMS2_CELL8_C", cJSON_CreateNumber(mVars[243]));</v>
      </c>
    </row>
    <row r="248" spans="3:16">
      <c r="C248" s="1">
        <v>244</v>
      </c>
      <c r="D248" s="1" t="str">
        <f t="shared" si="36"/>
        <v>00F4</v>
      </c>
      <c r="E248" t="s">
        <v>243</v>
      </c>
      <c r="H248" t="str">
        <f t="shared" si="37"/>
        <v>#define  VAR_BMS2_CELL9_C  244</v>
      </c>
      <c r="I248" t="str">
        <f t="shared" si="38"/>
        <v>public const byte VAR_BMS2_CELL9_C = 244;</v>
      </c>
      <c r="J248">
        <v>8</v>
      </c>
      <c r="L248" t="str">
        <f t="shared" si="41"/>
        <v>UpdateScanList(VAR_BMS2_CELL9_C, 5000);</v>
      </c>
      <c r="M248" t="str">
        <f t="shared" si="43"/>
        <v>VAR_SetVariable(VAR_BMS2_CELL9_C, Cells[8].Temp_C, validflag);</v>
      </c>
      <c r="O248" t="str">
        <f t="shared" si="40"/>
        <v>cJSON_AddItemToObject(Uha, "VAR_BMS2_CELL9_C", cJSON_CreateNumber(mVars[VAR_BMS2_CELL9_C]));</v>
      </c>
      <c r="P248" t="str">
        <f t="shared" si="42"/>
        <v>cJSON_AddItemToObject(Uha, "VAR_BMS2_CELL9_C", cJSON_CreateNumber(mVars[244]));</v>
      </c>
    </row>
    <row r="249" spans="3:16">
      <c r="C249" s="1">
        <v>245</v>
      </c>
      <c r="D249" s="1" t="str">
        <f t="shared" si="36"/>
        <v>00F5</v>
      </c>
      <c r="E249" t="s">
        <v>244</v>
      </c>
      <c r="H249" t="str">
        <f t="shared" si="37"/>
        <v>#define  VAR_BMS2_CELL10_C  245</v>
      </c>
      <c r="I249" t="str">
        <f t="shared" si="38"/>
        <v>public const byte VAR_BMS2_CELL10_C = 245;</v>
      </c>
      <c r="J249">
        <v>9</v>
      </c>
      <c r="L249" t="str">
        <f t="shared" si="41"/>
        <v>UpdateScanList(VAR_BMS2_CELL10_C, 5000);</v>
      </c>
      <c r="M249" t="str">
        <f t="shared" si="43"/>
        <v>VAR_SetVariable(VAR_BMS2_CELL10_C, Cells[9].Temp_C, validflag);</v>
      </c>
      <c r="O249" t="str">
        <f t="shared" si="40"/>
        <v>cJSON_AddItemToObject(Uha, "VAR_BMS2_CELL10_C", cJSON_CreateNumber(mVars[VAR_BMS2_CELL10_C]));</v>
      </c>
      <c r="P249" t="str">
        <f t="shared" si="42"/>
        <v>cJSON_AddItemToObject(Uha, "VAR_BMS2_CELL10_C", cJSON_CreateNumber(mVars[245]));</v>
      </c>
    </row>
    <row r="250" spans="3:16">
      <c r="C250" s="1">
        <v>246</v>
      </c>
      <c r="D250" s="1" t="str">
        <f t="shared" si="36"/>
        <v>00F6</v>
      </c>
      <c r="E250" t="s">
        <v>245</v>
      </c>
      <c r="H250" t="str">
        <f t="shared" si="37"/>
        <v>#define  VAR_BMS2_CELL11_C  246</v>
      </c>
      <c r="I250" t="str">
        <f t="shared" si="38"/>
        <v>public const byte VAR_BMS2_CELL11_C = 246;</v>
      </c>
      <c r="J250">
        <v>10</v>
      </c>
      <c r="L250" t="str">
        <f t="shared" si="41"/>
        <v>UpdateScanList(VAR_BMS2_CELL11_C, 5000);</v>
      </c>
      <c r="M250" t="str">
        <f t="shared" si="43"/>
        <v>VAR_SetVariable(VAR_BMS2_CELL11_C, Cells[10].Temp_C, validflag);</v>
      </c>
      <c r="O250" t="str">
        <f t="shared" si="40"/>
        <v>cJSON_AddItemToObject(Uha, "VAR_BMS2_CELL11_C", cJSON_CreateNumber(mVars[VAR_BMS2_CELL11_C]));</v>
      </c>
      <c r="P250" t="str">
        <f t="shared" si="42"/>
        <v>cJSON_AddItemToObject(Uha, "VAR_BMS2_CELL11_C", cJSON_CreateNumber(mVars[246]));</v>
      </c>
    </row>
    <row r="251" spans="3:16">
      <c r="C251" s="1">
        <v>247</v>
      </c>
      <c r="D251" s="1" t="str">
        <f t="shared" si="36"/>
        <v>00F7</v>
      </c>
      <c r="E251" t="s">
        <v>246</v>
      </c>
      <c r="H251" t="str">
        <f t="shared" si="37"/>
        <v>#define  VAR_BMS2_CELL12_C  247</v>
      </c>
      <c r="I251" t="str">
        <f t="shared" si="38"/>
        <v>public const byte VAR_BMS2_CELL12_C = 247;</v>
      </c>
      <c r="J251">
        <v>11</v>
      </c>
      <c r="L251" t="str">
        <f t="shared" si="41"/>
        <v>UpdateScanList(VAR_BMS2_CELL12_C, 5000);</v>
      </c>
      <c r="M251" t="str">
        <f t="shared" si="43"/>
        <v>VAR_SetVariable(VAR_BMS2_CELL12_C, Cells[11].Temp_C, validflag);</v>
      </c>
      <c r="O251" t="str">
        <f t="shared" si="40"/>
        <v>cJSON_AddItemToObject(Uha, "VAR_BMS2_CELL12_C", cJSON_CreateNumber(mVars[VAR_BMS2_CELL12_C]));</v>
      </c>
      <c r="P251" t="str">
        <f t="shared" si="42"/>
        <v>cJSON_AddItemToObject(Uha, "VAR_BMS2_CELL12_C", cJSON_CreateNumber(mVars[247]));</v>
      </c>
    </row>
    <row r="252" spans="3:16">
      <c r="C252" s="1">
        <v>248</v>
      </c>
      <c r="D252" s="1" t="str">
        <f t="shared" si="36"/>
        <v>00F8</v>
      </c>
      <c r="E252" t="s">
        <v>247</v>
      </c>
      <c r="H252" t="str">
        <f t="shared" si="37"/>
        <v>#define  VAR_BMS2_CELL13_C  248</v>
      </c>
      <c r="I252" t="str">
        <f t="shared" si="38"/>
        <v>public const byte VAR_BMS2_CELL13_C = 248;</v>
      </c>
      <c r="J252">
        <v>12</v>
      </c>
      <c r="L252" t="str">
        <f t="shared" si="41"/>
        <v>UpdateScanList(VAR_BMS2_CELL13_C, 5000);</v>
      </c>
      <c r="M252" t="str">
        <f t="shared" si="43"/>
        <v>VAR_SetVariable(VAR_BMS2_CELL13_C, Cells[12].Temp_C, validflag);</v>
      </c>
      <c r="O252" t="str">
        <f t="shared" si="40"/>
        <v>cJSON_AddItemToObject(Uha, "VAR_BMS2_CELL13_C", cJSON_CreateNumber(mVars[VAR_BMS2_CELL13_C]));</v>
      </c>
      <c r="P252" t="str">
        <f t="shared" si="42"/>
        <v>cJSON_AddItemToObject(Uha, "VAR_BMS2_CELL13_C", cJSON_CreateNumber(mVars[248]));</v>
      </c>
    </row>
    <row r="253" spans="3:16">
      <c r="C253" s="1">
        <v>249</v>
      </c>
      <c r="D253" s="1" t="str">
        <f t="shared" si="36"/>
        <v>00F9</v>
      </c>
      <c r="E253" t="s">
        <v>248</v>
      </c>
      <c r="H253" t="str">
        <f t="shared" si="37"/>
        <v>#define  VAR_BMS2_CELL14_C  249</v>
      </c>
      <c r="I253" t="str">
        <f t="shared" si="38"/>
        <v>public const byte VAR_BMS2_CELL14_C = 249;</v>
      </c>
      <c r="J253">
        <v>13</v>
      </c>
      <c r="L253" t="str">
        <f t="shared" si="41"/>
        <v>UpdateScanList(VAR_BMS2_CELL14_C, 5000);</v>
      </c>
      <c r="M253" t="str">
        <f t="shared" si="43"/>
        <v>VAR_SetVariable(VAR_BMS2_CELL14_C, Cells[13].Temp_C, validflag);</v>
      </c>
      <c r="O253" t="str">
        <f t="shared" si="40"/>
        <v>cJSON_AddItemToObject(Uha, "VAR_BMS2_CELL14_C", cJSON_CreateNumber(mVars[VAR_BMS2_CELL14_C]));</v>
      </c>
      <c r="P253" t="str">
        <f t="shared" si="42"/>
        <v>cJSON_AddItemToObject(Uha, "VAR_BMS2_CELL14_C", cJSON_CreateNumber(mVars[249]));</v>
      </c>
    </row>
    <row r="254" spans="3:16">
      <c r="C254" s="1">
        <v>250</v>
      </c>
      <c r="D254" s="1" t="str">
        <f t="shared" si="36"/>
        <v>00FA</v>
      </c>
      <c r="E254" t="s">
        <v>249</v>
      </c>
      <c r="H254" t="str">
        <f t="shared" si="37"/>
        <v>#define  VAR_BMS2_CELL15_C  250</v>
      </c>
      <c r="I254" t="str">
        <f t="shared" si="38"/>
        <v>public const byte VAR_BMS2_CELL15_C = 250;</v>
      </c>
      <c r="J254">
        <v>14</v>
      </c>
      <c r="L254" t="str">
        <f t="shared" si="41"/>
        <v>UpdateScanList(VAR_BMS2_CELL15_C, 5000);</v>
      </c>
      <c r="M254" t="str">
        <f t="shared" si="43"/>
        <v>VAR_SetVariable(VAR_BMS2_CELL15_C, Cells[14].Temp_C, validflag);</v>
      </c>
      <c r="O254" t="str">
        <f t="shared" si="40"/>
        <v>cJSON_AddItemToObject(Uha, "VAR_BMS2_CELL15_C", cJSON_CreateNumber(mVars[VAR_BMS2_CELL15_C]));</v>
      </c>
      <c r="P254" t="str">
        <f t="shared" si="42"/>
        <v>cJSON_AddItemToObject(Uha, "VAR_BMS2_CELL15_C", cJSON_CreateNumber(mVars[250]));</v>
      </c>
    </row>
    <row r="255" spans="3:16">
      <c r="C255" s="1">
        <v>251</v>
      </c>
      <c r="D255" s="1" t="str">
        <f t="shared" si="36"/>
        <v>00FB</v>
      </c>
      <c r="E255" t="s">
        <v>250</v>
      </c>
      <c r="H255" t="str">
        <f t="shared" si="37"/>
        <v>#define  VAR_BMS2_CELL16_C  251</v>
      </c>
      <c r="I255" t="str">
        <f t="shared" si="38"/>
        <v>public const byte VAR_BMS2_CELL16_C = 251;</v>
      </c>
      <c r="J255">
        <v>15</v>
      </c>
      <c r="L255" t="str">
        <f t="shared" si="41"/>
        <v>UpdateScanList(VAR_BMS2_CELL16_C, 5000);</v>
      </c>
      <c r="M255" t="str">
        <f t="shared" si="43"/>
        <v>VAR_SetVariable(VAR_BMS2_CELL16_C, Cells[15].Temp_C, validflag);</v>
      </c>
      <c r="O255" t="str">
        <f t="shared" si="40"/>
        <v>cJSON_AddItemToObject(Uha, "VAR_BMS2_CELL16_C", cJSON_CreateNumber(mVars[VAR_BMS2_CELL16_C]));</v>
      </c>
      <c r="P255" t="str">
        <f t="shared" si="42"/>
        <v>cJSON_AddItemToObject(Uha, "VAR_BMS2_CELL16_C", cJSON_CreateNumber(mVars[251]));</v>
      </c>
    </row>
    <row r="256" spans="3:16">
      <c r="C256" s="1">
        <v>252</v>
      </c>
      <c r="D256" s="1" t="str">
        <f t="shared" si="36"/>
        <v>00FC</v>
      </c>
      <c r="H256" t="str">
        <f t="shared" ref="H256:H281" si="44">CONCATENATE("#define  ",E256,"  ",C256)</f>
        <v>#define    252</v>
      </c>
      <c r="I256" t="str">
        <f t="shared" ref="I256:I281" si="45">CONCATENATE("public const byte ",E256," = ",C256,";")</f>
        <v>public const byte  = 252;</v>
      </c>
      <c r="J256">
        <v>16</v>
      </c>
      <c r="L256" t="str">
        <f t="shared" si="41"/>
        <v>UpdateScanList(, 5000);</v>
      </c>
      <c r="M256" t="str">
        <f t="shared" ref="M256:M281" si="46">CONCATENATE("VAR_SetVariable(",E256,", Cells[",J256,"].Temp_C", ", validflag);")</f>
        <v>VAR_SetVariable(, Cells[16].Temp_C, validflag);</v>
      </c>
      <c r="O256" t="str">
        <f t="shared" si="40"/>
        <v/>
      </c>
      <c r="P256" t="str">
        <f t="shared" ref="P256:P281" si="47">CONCATENATE("cJSON_AddItemToObject(Uha, ","""",E256,"""",", cJSON_CreateNumber(mVars[",C256,"]));")</f>
        <v>cJSON_AddItemToObject(Uha, "", cJSON_CreateNumber(mVars[252]));</v>
      </c>
    </row>
    <row r="257" spans="1:16">
      <c r="C257" s="1">
        <v>253</v>
      </c>
      <c r="D257" s="1" t="str">
        <f t="shared" si="36"/>
        <v>00FD</v>
      </c>
      <c r="H257" t="str">
        <f t="shared" si="44"/>
        <v>#define    253</v>
      </c>
      <c r="I257" t="str">
        <f t="shared" si="45"/>
        <v>public const byte  = 253;</v>
      </c>
      <c r="J257">
        <v>17</v>
      </c>
      <c r="L257" t="str">
        <f t="shared" si="41"/>
        <v>UpdateScanList(, 5000);</v>
      </c>
      <c r="M257" t="str">
        <f t="shared" si="46"/>
        <v>VAR_SetVariable(, Cells[17].Temp_C, validflag);</v>
      </c>
      <c r="O257" t="str">
        <f t="shared" si="40"/>
        <v/>
      </c>
      <c r="P257" t="str">
        <f t="shared" si="47"/>
        <v>cJSON_AddItemToObject(Uha, "", cJSON_CreateNumber(mVars[253]));</v>
      </c>
    </row>
    <row r="258" spans="1:16">
      <c r="C258" s="1">
        <v>254</v>
      </c>
      <c r="D258" s="1" t="str">
        <f t="shared" si="36"/>
        <v>00FE</v>
      </c>
      <c r="H258" t="str">
        <f t="shared" si="44"/>
        <v>#define    254</v>
      </c>
      <c r="I258" t="str">
        <f t="shared" si="45"/>
        <v>public const byte  = 254;</v>
      </c>
      <c r="J258">
        <v>18</v>
      </c>
      <c r="L258" t="str">
        <f t="shared" si="41"/>
        <v>UpdateScanList(, 5000);</v>
      </c>
      <c r="M258" t="str">
        <f t="shared" si="46"/>
        <v>VAR_SetVariable(, Cells[18].Temp_C, validflag);</v>
      </c>
      <c r="O258" t="str">
        <f t="shared" si="40"/>
        <v/>
      </c>
      <c r="P258" t="str">
        <f t="shared" si="47"/>
        <v>cJSON_AddItemToObject(Uha, "", cJSON_CreateNumber(mVars[254]));</v>
      </c>
    </row>
    <row r="259" spans="1:16">
      <c r="C259" s="1">
        <v>255</v>
      </c>
      <c r="D259" s="1" t="str">
        <f t="shared" si="36"/>
        <v>00FF</v>
      </c>
      <c r="H259" t="str">
        <f t="shared" si="44"/>
        <v>#define    255</v>
      </c>
      <c r="I259" t="str">
        <f t="shared" si="45"/>
        <v>public const byte  = 255;</v>
      </c>
      <c r="J259">
        <v>19</v>
      </c>
      <c r="L259" t="str">
        <f t="shared" si="41"/>
        <v>UpdateScanList(, 5000);</v>
      </c>
      <c r="M259" t="str">
        <f t="shared" si="46"/>
        <v>VAR_SetVariable(, Cells[19].Temp_C, validflag);</v>
      </c>
      <c r="O259" t="str">
        <f t="shared" si="40"/>
        <v/>
      </c>
      <c r="P259" t="str">
        <f t="shared" si="47"/>
        <v>cJSON_AddItemToObject(Uha, "", cJSON_CreateNumber(mVars[255]));</v>
      </c>
    </row>
    <row r="260" spans="1:16">
      <c r="C260" s="1">
        <v>256</v>
      </c>
      <c r="D260" s="1" t="str">
        <f>DEC2HEX(C260,4)</f>
        <v>0100</v>
      </c>
      <c r="H260" t="str">
        <f t="shared" si="44"/>
        <v>#define    256</v>
      </c>
      <c r="I260" t="str">
        <f t="shared" si="45"/>
        <v>public const byte  = 256;</v>
      </c>
      <c r="J260">
        <v>20</v>
      </c>
      <c r="L260" t="str">
        <f t="shared" si="41"/>
        <v>UpdateScanList(, 5000);</v>
      </c>
      <c r="M260" t="str">
        <f t="shared" si="46"/>
        <v>VAR_SetVariable(, Cells[20].Temp_C, validflag);</v>
      </c>
      <c r="O260" t="str">
        <f t="shared" si="40"/>
        <v/>
      </c>
      <c r="P260" t="str">
        <f t="shared" si="47"/>
        <v>cJSON_AddItemToObject(Uha, "", cJSON_CreateNumber(mVars[256]));</v>
      </c>
    </row>
    <row r="261" spans="1:16">
      <c r="C261" s="1">
        <v>257</v>
      </c>
      <c r="D261" s="1" t="str">
        <f t="shared" ref="D261:D304" si="48">DEC2HEX(C261,4)</f>
        <v>0101</v>
      </c>
      <c r="H261" t="str">
        <f t="shared" si="44"/>
        <v>#define    257</v>
      </c>
      <c r="I261" t="str">
        <f t="shared" si="45"/>
        <v>public const byte  = 257;</v>
      </c>
      <c r="J261">
        <v>21</v>
      </c>
      <c r="L261" t="str">
        <f t="shared" si="41"/>
        <v>UpdateScanList(, 5000);</v>
      </c>
      <c r="M261" t="str">
        <f t="shared" si="46"/>
        <v>VAR_SetVariable(, Cells[21].Temp_C, validflag);</v>
      </c>
      <c r="O261" t="str">
        <f t="shared" si="40"/>
        <v/>
      </c>
      <c r="P261" t="str">
        <f t="shared" si="47"/>
        <v>cJSON_AddItemToObject(Uha, "", cJSON_CreateNumber(mVars[257]));</v>
      </c>
    </row>
    <row r="262" spans="1:16">
      <c r="C262" s="1">
        <v>258</v>
      </c>
      <c r="D262" s="1" t="str">
        <f t="shared" si="48"/>
        <v>0102</v>
      </c>
      <c r="H262" t="str">
        <f t="shared" si="44"/>
        <v>#define    258</v>
      </c>
      <c r="I262" t="str">
        <f t="shared" si="45"/>
        <v>public const byte  = 258;</v>
      </c>
      <c r="J262">
        <v>22</v>
      </c>
      <c r="L262" t="str">
        <f t="shared" si="41"/>
        <v>UpdateScanList(, 5000);</v>
      </c>
      <c r="M262" t="str">
        <f t="shared" si="46"/>
        <v>VAR_SetVariable(, Cells[22].Temp_C, validflag);</v>
      </c>
      <c r="O262" t="str">
        <f t="shared" si="40"/>
        <v/>
      </c>
      <c r="P262" t="str">
        <f t="shared" si="47"/>
        <v>cJSON_AddItemToObject(Uha, "", cJSON_CreateNumber(mVars[258]));</v>
      </c>
    </row>
    <row r="263" spans="1:16">
      <c r="C263" s="1">
        <v>259</v>
      </c>
      <c r="D263" s="1" t="str">
        <f t="shared" si="48"/>
        <v>0103</v>
      </c>
      <c r="H263" t="str">
        <f t="shared" si="44"/>
        <v>#define    259</v>
      </c>
      <c r="I263" t="str">
        <f t="shared" si="45"/>
        <v>public const byte  = 259;</v>
      </c>
      <c r="J263">
        <v>23</v>
      </c>
      <c r="L263" t="str">
        <f t="shared" si="41"/>
        <v>UpdateScanList(, 5000);</v>
      </c>
      <c r="M263" t="str">
        <f t="shared" si="46"/>
        <v>VAR_SetVariable(, Cells[23].Temp_C, validflag);</v>
      </c>
      <c r="O263" t="str">
        <f t="shared" si="40"/>
        <v/>
      </c>
      <c r="P263" t="str">
        <f t="shared" si="47"/>
        <v>cJSON_AddItemToObject(Uha, "", cJSON_CreateNumber(mVars[259]));</v>
      </c>
    </row>
    <row r="264" spans="1:16">
      <c r="C264" s="1">
        <v>260</v>
      </c>
      <c r="D264" s="1" t="str">
        <f t="shared" si="48"/>
        <v>0104</v>
      </c>
      <c r="E264" t="s">
        <v>340</v>
      </c>
      <c r="H264" t="str">
        <f t="shared" si="44"/>
        <v>#define  VAR_CONS_AXPERT_WH  260</v>
      </c>
      <c r="I264" t="str">
        <f t="shared" si="45"/>
        <v>public const byte VAR_CONS_AXPERT_WH = 260;</v>
      </c>
      <c r="J264">
        <v>24</v>
      </c>
      <c r="L264" t="str">
        <f t="shared" si="41"/>
        <v>UpdateScanList(VAR_CONS_AXPERT_WH, 5000);</v>
      </c>
      <c r="M264" t="str">
        <f t="shared" si="46"/>
        <v>VAR_SetVariable(VAR_CONS_AXPERT_WH, Cells[24].Temp_C, validflag);</v>
      </c>
      <c r="O264" t="str">
        <f t="shared" si="40"/>
        <v>cJSON_AddItemToObject(Uha, "VAR_CONS_AXPERT_WH", cJSON_CreateNumber(mVars[VAR_CONS_AXPERT_WH]));</v>
      </c>
      <c r="P264" t="str">
        <f t="shared" si="47"/>
        <v>cJSON_AddItemToObject(Uha, "VAR_CONS_AXPERT_WH", cJSON_CreateNumber(mVars[260]));</v>
      </c>
    </row>
    <row r="265" spans="1:16">
      <c r="C265" s="1">
        <v>261</v>
      </c>
      <c r="D265" s="1" t="str">
        <f t="shared" si="48"/>
        <v>0105</v>
      </c>
      <c r="E265" t="s">
        <v>342</v>
      </c>
      <c r="H265" t="str">
        <f t="shared" si="44"/>
        <v>#define  VAR_CONS_EVSE_WH  261</v>
      </c>
      <c r="I265" t="str">
        <f t="shared" si="45"/>
        <v>public const byte VAR_CONS_EVSE_WH = 261;</v>
      </c>
      <c r="J265">
        <v>25</v>
      </c>
      <c r="L265" t="str">
        <f t="shared" si="41"/>
        <v>UpdateScanList(VAR_CONS_EVSE_WH, 5000);</v>
      </c>
      <c r="M265" t="str">
        <f t="shared" si="46"/>
        <v>VAR_SetVariable(VAR_CONS_EVSE_WH, Cells[25].Temp_C, validflag);</v>
      </c>
      <c r="O265" t="str">
        <f t="shared" si="40"/>
        <v>cJSON_AddItemToObject(Uha, "VAR_CONS_EVSE_WH", cJSON_CreateNumber(mVars[VAR_CONS_EVSE_WH]));</v>
      </c>
      <c r="P265" t="str">
        <f t="shared" si="47"/>
        <v>cJSON_AddItemToObject(Uha, "VAR_CONS_EVSE_WH", cJSON_CreateNumber(mVars[261]));</v>
      </c>
    </row>
    <row r="266" spans="1:16">
      <c r="A266" t="s">
        <v>344</v>
      </c>
      <c r="C266" s="1">
        <v>262</v>
      </c>
      <c r="D266" s="1" t="str">
        <f t="shared" si="48"/>
        <v>0106</v>
      </c>
      <c r="E266" t="s">
        <v>343</v>
      </c>
      <c r="H266" t="str">
        <f t="shared" si="44"/>
        <v>#define  VAR_CONS_WS_HEATING_WH  262</v>
      </c>
      <c r="I266" t="str">
        <f t="shared" si="45"/>
        <v>public const byte VAR_CONS_WS_HEATING_WH = 262;</v>
      </c>
      <c r="J266">
        <v>26</v>
      </c>
      <c r="L266" t="str">
        <f t="shared" si="41"/>
        <v>UpdateScanList(VAR_CONS_WS_HEATING_WH, 5000);</v>
      </c>
      <c r="M266" t="str">
        <f t="shared" si="46"/>
        <v>VAR_SetVariable(VAR_CONS_WS_HEATING_WH, Cells[26].Temp_C, validflag);</v>
      </c>
      <c r="O266" t="str">
        <f t="shared" si="40"/>
        <v>cJSON_AddItemToObject(Uha, "VAR_CONS_WS_HEATING_WH", cJSON_CreateNumber(mVars[VAR_CONS_WS_HEATING_WH]));</v>
      </c>
      <c r="P266" t="str">
        <f t="shared" si="47"/>
        <v>cJSON_AddItemToObject(Uha, "VAR_CONS_WS_HEATING_WH", cJSON_CreateNumber(mVars[262]));</v>
      </c>
    </row>
    <row r="267" spans="1:16">
      <c r="C267" s="1">
        <v>263</v>
      </c>
      <c r="D267" s="1" t="str">
        <f t="shared" si="48"/>
        <v>0107</v>
      </c>
      <c r="H267" t="str">
        <f t="shared" si="44"/>
        <v>#define    263</v>
      </c>
      <c r="I267" t="str">
        <f t="shared" si="45"/>
        <v>public const byte  = 263;</v>
      </c>
      <c r="J267">
        <v>27</v>
      </c>
      <c r="L267" t="str">
        <f t="shared" si="41"/>
        <v>UpdateScanList(, 5000);</v>
      </c>
      <c r="M267" t="str">
        <f t="shared" si="46"/>
        <v>VAR_SetVariable(, Cells[27].Temp_C, validflag);</v>
      </c>
      <c r="O267" t="str">
        <f t="shared" si="40"/>
        <v/>
      </c>
      <c r="P267" t="str">
        <f t="shared" si="47"/>
        <v>cJSON_AddItemToObject(Uha, "", cJSON_CreateNumber(mVars[263]));</v>
      </c>
    </row>
    <row r="268" spans="1:16">
      <c r="C268" s="1">
        <v>264</v>
      </c>
      <c r="D268" s="1" t="str">
        <f t="shared" si="48"/>
        <v>0108</v>
      </c>
      <c r="H268" t="str">
        <f t="shared" si="44"/>
        <v>#define    264</v>
      </c>
      <c r="I268" t="str">
        <f t="shared" si="45"/>
        <v>public const byte  = 264;</v>
      </c>
      <c r="J268">
        <v>28</v>
      </c>
      <c r="L268" t="str">
        <f t="shared" si="41"/>
        <v>UpdateScanList(, 5000);</v>
      </c>
      <c r="M268" t="str">
        <f t="shared" si="46"/>
        <v>VAR_SetVariable(, Cells[28].Temp_C, validflag);</v>
      </c>
      <c r="O268" t="str">
        <f t="shared" si="40"/>
        <v/>
      </c>
      <c r="P268" t="str">
        <f t="shared" si="47"/>
        <v>cJSON_AddItemToObject(Uha, "", cJSON_CreateNumber(mVars[264]));</v>
      </c>
    </row>
    <row r="269" spans="1:16">
      <c r="C269" s="1">
        <v>265</v>
      </c>
      <c r="D269" s="1" t="str">
        <f t="shared" si="48"/>
        <v>0109</v>
      </c>
      <c r="H269" t="str">
        <f t="shared" si="44"/>
        <v>#define    265</v>
      </c>
      <c r="I269" t="str">
        <f t="shared" si="45"/>
        <v>public const byte  = 265;</v>
      </c>
      <c r="J269">
        <v>29</v>
      </c>
      <c r="L269" t="str">
        <f t="shared" si="41"/>
        <v>UpdateScanList(, 5000);</v>
      </c>
      <c r="M269" t="str">
        <f t="shared" si="46"/>
        <v>VAR_SetVariable(, Cells[29].Temp_C, validflag);</v>
      </c>
      <c r="O269" t="str">
        <f t="shared" ref="O269:O311" si="49">IF(ISBLANK(E269),"",CONCATENATE("cJSON_AddItemToObject(Uha, ","""",E269,"""",", cJSON_CreateNumber(mVars[",E269,"]));"))</f>
        <v/>
      </c>
      <c r="P269" t="str">
        <f t="shared" si="47"/>
        <v>cJSON_AddItemToObject(Uha, "", cJSON_CreateNumber(mVars[265]));</v>
      </c>
    </row>
    <row r="270" spans="1:16">
      <c r="C270" s="1">
        <v>266</v>
      </c>
      <c r="D270" s="1" t="str">
        <f t="shared" si="48"/>
        <v>010A</v>
      </c>
      <c r="H270" t="str">
        <f t="shared" si="44"/>
        <v>#define    266</v>
      </c>
      <c r="I270" t="str">
        <f t="shared" si="45"/>
        <v>public const byte  = 266;</v>
      </c>
      <c r="J270">
        <v>30</v>
      </c>
      <c r="L270" t="str">
        <f t="shared" si="41"/>
        <v>UpdateScanList(, 5000);</v>
      </c>
      <c r="M270" t="str">
        <f t="shared" si="46"/>
        <v>VAR_SetVariable(, Cells[30].Temp_C, validflag);</v>
      </c>
      <c r="O270" t="str">
        <f t="shared" si="49"/>
        <v/>
      </c>
      <c r="P270" t="str">
        <f t="shared" si="47"/>
        <v>cJSON_AddItemToObject(Uha, "", cJSON_CreateNumber(mVars[266]));</v>
      </c>
    </row>
    <row r="271" spans="1:16">
      <c r="C271" s="1">
        <v>267</v>
      </c>
      <c r="D271" s="1" t="str">
        <f t="shared" si="48"/>
        <v>010B</v>
      </c>
      <c r="H271" t="str">
        <f t="shared" si="44"/>
        <v>#define    267</v>
      </c>
      <c r="I271" t="str">
        <f t="shared" si="45"/>
        <v>public const byte  = 267;</v>
      </c>
      <c r="J271">
        <v>31</v>
      </c>
      <c r="L271" t="str">
        <f t="shared" ref="L271:L310" si="50">CONCATENATE("UpdateScanList(",E271, ", 5000);")</f>
        <v>UpdateScanList(, 5000);</v>
      </c>
      <c r="M271" t="str">
        <f t="shared" si="46"/>
        <v>VAR_SetVariable(, Cells[31].Temp_C, validflag);</v>
      </c>
      <c r="O271" t="str">
        <f t="shared" si="49"/>
        <v/>
      </c>
      <c r="P271" t="str">
        <f t="shared" si="47"/>
        <v>cJSON_AddItemToObject(Uha, "", cJSON_CreateNumber(mVars[267]));</v>
      </c>
    </row>
    <row r="272" spans="1:16">
      <c r="C272" s="1">
        <v>268</v>
      </c>
      <c r="D272" s="1" t="str">
        <f t="shared" si="48"/>
        <v>010C</v>
      </c>
      <c r="H272" t="str">
        <f t="shared" si="44"/>
        <v>#define    268</v>
      </c>
      <c r="I272" t="str">
        <f t="shared" si="45"/>
        <v>public const byte  = 268;</v>
      </c>
      <c r="J272">
        <v>32</v>
      </c>
      <c r="L272" t="str">
        <f t="shared" si="50"/>
        <v>UpdateScanList(, 5000);</v>
      </c>
      <c r="M272" t="str">
        <f t="shared" si="46"/>
        <v>VAR_SetVariable(, Cells[32].Temp_C, validflag);</v>
      </c>
      <c r="O272" t="str">
        <f t="shared" si="49"/>
        <v/>
      </c>
      <c r="P272" t="str">
        <f t="shared" si="47"/>
        <v>cJSON_AddItemToObject(Uha, "", cJSON_CreateNumber(mVars[268]));</v>
      </c>
    </row>
    <row r="273" spans="3:16">
      <c r="C273" s="1">
        <v>269</v>
      </c>
      <c r="D273" s="1" t="str">
        <f t="shared" si="48"/>
        <v>010D</v>
      </c>
      <c r="H273" t="str">
        <f t="shared" si="44"/>
        <v>#define    269</v>
      </c>
      <c r="I273" t="str">
        <f t="shared" si="45"/>
        <v>public const byte  = 269;</v>
      </c>
      <c r="J273">
        <v>33</v>
      </c>
      <c r="L273" t="str">
        <f t="shared" si="50"/>
        <v>UpdateScanList(, 5000);</v>
      </c>
      <c r="M273" t="str">
        <f t="shared" si="46"/>
        <v>VAR_SetVariable(, Cells[33].Temp_C, validflag);</v>
      </c>
      <c r="O273" t="str">
        <f t="shared" si="49"/>
        <v/>
      </c>
      <c r="P273" t="str">
        <f t="shared" si="47"/>
        <v>cJSON_AddItemToObject(Uha, "", cJSON_CreateNumber(mVars[269]));</v>
      </c>
    </row>
    <row r="274" spans="3:16">
      <c r="C274" s="1">
        <v>270</v>
      </c>
      <c r="D274" s="1" t="str">
        <f t="shared" si="48"/>
        <v>010E</v>
      </c>
      <c r="E274" t="s">
        <v>341</v>
      </c>
      <c r="H274" t="str">
        <f t="shared" si="44"/>
        <v>#define  VAR_POW_AXPERT_W  270</v>
      </c>
      <c r="I274" t="str">
        <f t="shared" si="45"/>
        <v>public const byte VAR_POW_AXPERT_W = 270;</v>
      </c>
      <c r="J274">
        <v>34</v>
      </c>
      <c r="L274" t="str">
        <f t="shared" si="50"/>
        <v>UpdateScanList(VAR_POW_AXPERT_W, 5000);</v>
      </c>
      <c r="M274" t="str">
        <f t="shared" si="46"/>
        <v>VAR_SetVariable(VAR_POW_AXPERT_W, Cells[34].Temp_C, validflag);</v>
      </c>
      <c r="O274" t="str">
        <f t="shared" si="49"/>
        <v>cJSON_AddItemToObject(Uha, "VAR_POW_AXPERT_W", cJSON_CreateNumber(mVars[VAR_POW_AXPERT_W]));</v>
      </c>
      <c r="P274" t="str">
        <f t="shared" si="47"/>
        <v>cJSON_AddItemToObject(Uha, "VAR_POW_AXPERT_W", cJSON_CreateNumber(mVars[270]));</v>
      </c>
    </row>
    <row r="275" spans="3:16">
      <c r="C275" s="1">
        <v>271</v>
      </c>
      <c r="D275" s="1" t="str">
        <f t="shared" si="48"/>
        <v>010F</v>
      </c>
      <c r="E275" t="s">
        <v>345</v>
      </c>
      <c r="H275" t="str">
        <f t="shared" si="44"/>
        <v>#define  VAR_POW_EVSE_W  271</v>
      </c>
      <c r="I275" t="str">
        <f t="shared" si="45"/>
        <v>public const byte VAR_POW_EVSE_W = 271;</v>
      </c>
      <c r="J275">
        <v>35</v>
      </c>
      <c r="L275" t="str">
        <f t="shared" si="50"/>
        <v>UpdateScanList(VAR_POW_EVSE_W, 5000);</v>
      </c>
      <c r="M275" t="str">
        <f t="shared" si="46"/>
        <v>VAR_SetVariable(VAR_POW_EVSE_W, Cells[35].Temp_C, validflag);</v>
      </c>
      <c r="O275" t="str">
        <f t="shared" si="49"/>
        <v>cJSON_AddItemToObject(Uha, "VAR_POW_EVSE_W", cJSON_CreateNumber(mVars[VAR_POW_EVSE_W]));</v>
      </c>
      <c r="P275" t="str">
        <f t="shared" si="47"/>
        <v>cJSON_AddItemToObject(Uha, "VAR_POW_EVSE_W", cJSON_CreateNumber(mVars[271]));</v>
      </c>
    </row>
    <row r="276" spans="3:16">
      <c r="C276" s="1">
        <v>272</v>
      </c>
      <c r="D276" s="1" t="str">
        <f t="shared" si="48"/>
        <v>0110</v>
      </c>
      <c r="E276" t="s">
        <v>346</v>
      </c>
      <c r="H276" t="str">
        <f t="shared" si="44"/>
        <v>#define  VAR_POW_WS_HEATING_W  272</v>
      </c>
      <c r="I276" t="str">
        <f t="shared" si="45"/>
        <v>public const byte VAR_POW_WS_HEATING_W = 272;</v>
      </c>
      <c r="J276">
        <v>36</v>
      </c>
      <c r="L276" t="str">
        <f t="shared" si="50"/>
        <v>UpdateScanList(VAR_POW_WS_HEATING_W, 5000);</v>
      </c>
      <c r="M276" t="str">
        <f t="shared" si="46"/>
        <v>VAR_SetVariable(VAR_POW_WS_HEATING_W, Cells[36].Temp_C, validflag);</v>
      </c>
      <c r="O276" t="str">
        <f t="shared" si="49"/>
        <v>cJSON_AddItemToObject(Uha, "VAR_POW_WS_HEATING_W", cJSON_CreateNumber(mVars[VAR_POW_WS_HEATING_W]));</v>
      </c>
      <c r="P276" t="str">
        <f t="shared" si="47"/>
        <v>cJSON_AddItemToObject(Uha, "VAR_POW_WS_HEATING_W", cJSON_CreateNumber(mVars[272]));</v>
      </c>
    </row>
    <row r="277" spans="3:16">
      <c r="C277" s="1">
        <v>273</v>
      </c>
      <c r="D277" s="1" t="str">
        <f t="shared" si="48"/>
        <v>0111</v>
      </c>
      <c r="H277" t="str">
        <f t="shared" si="44"/>
        <v>#define    273</v>
      </c>
      <c r="I277" t="str">
        <f t="shared" si="45"/>
        <v>public const byte  = 273;</v>
      </c>
      <c r="J277">
        <v>37</v>
      </c>
      <c r="L277" t="str">
        <f t="shared" si="50"/>
        <v>UpdateScanList(, 5000);</v>
      </c>
      <c r="M277" t="str">
        <f t="shared" si="46"/>
        <v>VAR_SetVariable(, Cells[37].Temp_C, validflag);</v>
      </c>
      <c r="O277" t="str">
        <f t="shared" si="49"/>
        <v/>
      </c>
      <c r="P277" t="str">
        <f t="shared" si="47"/>
        <v>cJSON_AddItemToObject(Uha, "", cJSON_CreateNumber(mVars[273]));</v>
      </c>
    </row>
    <row r="278" spans="3:16">
      <c r="C278" s="1">
        <v>274</v>
      </c>
      <c r="D278" s="1" t="str">
        <f t="shared" si="48"/>
        <v>0112</v>
      </c>
      <c r="H278" t="str">
        <f t="shared" si="44"/>
        <v>#define    274</v>
      </c>
      <c r="I278" t="str">
        <f t="shared" si="45"/>
        <v>public const byte  = 274;</v>
      </c>
      <c r="J278">
        <v>38</v>
      </c>
      <c r="L278" t="str">
        <f t="shared" si="50"/>
        <v>UpdateScanList(, 5000);</v>
      </c>
      <c r="M278" t="str">
        <f t="shared" si="46"/>
        <v>VAR_SetVariable(, Cells[38].Temp_C, validflag);</v>
      </c>
      <c r="O278" t="str">
        <f t="shared" si="49"/>
        <v/>
      </c>
      <c r="P278" t="str">
        <f t="shared" si="47"/>
        <v>cJSON_AddItemToObject(Uha, "", cJSON_CreateNumber(mVars[274]));</v>
      </c>
    </row>
    <row r="279" spans="3:16">
      <c r="C279" s="1">
        <v>275</v>
      </c>
      <c r="D279" s="1" t="str">
        <f t="shared" si="48"/>
        <v>0113</v>
      </c>
      <c r="H279" t="str">
        <f t="shared" si="44"/>
        <v>#define    275</v>
      </c>
      <c r="I279" t="str">
        <f t="shared" si="45"/>
        <v>public const byte  = 275;</v>
      </c>
      <c r="J279">
        <v>39</v>
      </c>
      <c r="L279" t="str">
        <f t="shared" si="50"/>
        <v>UpdateScanList(, 5000);</v>
      </c>
      <c r="M279" t="str">
        <f t="shared" si="46"/>
        <v>VAR_SetVariable(, Cells[39].Temp_C, validflag);</v>
      </c>
      <c r="O279" t="str">
        <f t="shared" si="49"/>
        <v/>
      </c>
      <c r="P279" t="str">
        <f t="shared" si="47"/>
        <v>cJSON_AddItemToObject(Uha, "", cJSON_CreateNumber(mVars[275]));</v>
      </c>
    </row>
    <row r="280" spans="3:16">
      <c r="C280" s="1">
        <v>276</v>
      </c>
      <c r="D280" s="1" t="str">
        <f t="shared" si="48"/>
        <v>0114</v>
      </c>
      <c r="H280" t="str">
        <f t="shared" si="44"/>
        <v>#define    276</v>
      </c>
      <c r="I280" t="str">
        <f t="shared" si="45"/>
        <v>public const byte  = 276;</v>
      </c>
      <c r="J280">
        <v>40</v>
      </c>
      <c r="L280" t="str">
        <f t="shared" si="50"/>
        <v>UpdateScanList(, 5000);</v>
      </c>
      <c r="M280" t="str">
        <f t="shared" si="46"/>
        <v>VAR_SetVariable(, Cells[40].Temp_C, validflag);</v>
      </c>
      <c r="O280" t="str">
        <f t="shared" si="49"/>
        <v/>
      </c>
      <c r="P280" t="str">
        <f t="shared" si="47"/>
        <v>cJSON_AddItemToObject(Uha, "", cJSON_CreateNumber(mVars[276]));</v>
      </c>
    </row>
    <row r="281" spans="3:16">
      <c r="C281" s="1">
        <v>277</v>
      </c>
      <c r="D281" s="1" t="str">
        <f t="shared" si="48"/>
        <v>0115</v>
      </c>
      <c r="H281" t="str">
        <f t="shared" si="44"/>
        <v>#define    277</v>
      </c>
      <c r="I281" t="str">
        <f t="shared" si="45"/>
        <v>public const byte  = 277;</v>
      </c>
      <c r="J281">
        <v>41</v>
      </c>
      <c r="L281" t="str">
        <f t="shared" si="50"/>
        <v>UpdateScanList(, 5000);</v>
      </c>
      <c r="M281" t="str">
        <f t="shared" si="46"/>
        <v>VAR_SetVariable(, Cells[41].Temp_C, validflag);</v>
      </c>
      <c r="O281" t="str">
        <f t="shared" si="49"/>
        <v/>
      </c>
      <c r="P281" t="str">
        <f t="shared" si="47"/>
        <v>cJSON_AddItemToObject(Uha, "", cJSON_CreateNumber(mVars[277]));</v>
      </c>
    </row>
    <row r="282" spans="3:16">
      <c r="C282" s="1">
        <v>278</v>
      </c>
      <c r="D282" s="1" t="str">
        <f t="shared" si="48"/>
        <v>0116</v>
      </c>
      <c r="E282" t="s">
        <v>437</v>
      </c>
      <c r="H282" t="str">
        <f>CONCATENATE("#define  ",E282,"  ",C282)</f>
        <v>#define  VAR_AXPERT_TEMP_C  278</v>
      </c>
      <c r="I282" t="str">
        <f>CONCATENATE("public const byte ",E282," = ",C282,";")</f>
        <v>public const byte VAR_AXPERT_TEMP_C = 278;</v>
      </c>
      <c r="J282">
        <v>42</v>
      </c>
      <c r="L282" t="str">
        <f t="shared" si="50"/>
        <v>UpdateScanList(VAR_AXPERT_TEMP_C, 5000);</v>
      </c>
      <c r="M282" t="str">
        <f>CONCATENATE("VAR_SetVariable(",E282,", Cells[",J282,"].Temp_C", ", validflag);")</f>
        <v>VAR_SetVariable(VAR_AXPERT_TEMP_C, Cells[42].Temp_C, validflag);</v>
      </c>
      <c r="O282" t="str">
        <f t="shared" si="49"/>
        <v>cJSON_AddItemToObject(Uha, "VAR_AXPERT_TEMP_C", cJSON_CreateNumber(mVars[VAR_AXPERT_TEMP_C]));</v>
      </c>
      <c r="P282" t="str">
        <f>CONCATENATE("cJSON_AddItemToObject(Uha, ","""",E282,"""",", cJSON_CreateNumber(mVars[",C282,"]));")</f>
        <v>cJSON_AddItemToObject(Uha, "VAR_AXPERT_TEMP_C", cJSON_CreateNumber(mVars[278]));</v>
      </c>
    </row>
    <row r="283" spans="3:16">
      <c r="C283" s="1">
        <v>279</v>
      </c>
      <c r="D283" s="1" t="str">
        <f t="shared" si="48"/>
        <v>0117</v>
      </c>
      <c r="E283" t="s">
        <v>436</v>
      </c>
      <c r="H283" t="str">
        <f>CONCATENATE("#define  ",E283,"  ",C283)</f>
        <v>#define  VAR_AXPERT_AC_POWER_W  279</v>
      </c>
      <c r="I283" t="str">
        <f>CONCATENATE("public const byte ",E283," = ",C283,";")</f>
        <v>public const byte VAR_AXPERT_AC_POWER_W = 279;</v>
      </c>
      <c r="J283">
        <v>43</v>
      </c>
      <c r="L283" t="str">
        <f t="shared" si="50"/>
        <v>UpdateScanList(VAR_AXPERT_AC_POWER_W, 5000);</v>
      </c>
      <c r="M283" t="str">
        <f>CONCATENATE("VAR_SetVariable(",E283,", Cells[",J283,"].Temp_C", ", validflag);")</f>
        <v>VAR_SetVariable(VAR_AXPERT_AC_POWER_W, Cells[43].Temp_C, validflag);</v>
      </c>
      <c r="O283" t="str">
        <f t="shared" si="49"/>
        <v>cJSON_AddItemToObject(Uha, "VAR_AXPERT_AC_POWER_W", cJSON_CreateNumber(mVars[VAR_AXPERT_AC_POWER_W]));</v>
      </c>
      <c r="P283" t="str">
        <f>CONCATENATE("cJSON_AddItemToObject(Uha, ","""",E283,"""",", cJSON_CreateNumber(mVars[",C283,"]));")</f>
        <v>cJSON_AddItemToObject(Uha, "VAR_AXPERT_AC_POWER_W", cJSON_CreateNumber(mVars[279]));</v>
      </c>
    </row>
    <row r="284" spans="3:16">
      <c r="C284" s="1">
        <v>280</v>
      </c>
      <c r="D284" s="1" t="str">
        <f t="shared" si="48"/>
        <v>0118</v>
      </c>
      <c r="E284" s="29" t="s">
        <v>389</v>
      </c>
      <c r="H284" t="str">
        <f t="shared" ref="H284:H291" si="51">CONCATENATE("#define  ",E284,"  ",C284)</f>
        <v>#define  VAR_AXPERT_BAT_CHARGING_A  280</v>
      </c>
      <c r="I284" t="str">
        <f t="shared" ref="I284:I291" si="52">CONCATENATE("public const byte ",E284," = ",C284,";")</f>
        <v>public const byte VAR_AXPERT_BAT_CHARGING_A = 280;</v>
      </c>
      <c r="J284">
        <v>44</v>
      </c>
      <c r="L284" t="str">
        <f t="shared" si="50"/>
        <v>UpdateScanList(VAR_AXPERT_BAT_CHARGING_A, 5000);</v>
      </c>
      <c r="M284" t="str">
        <f t="shared" ref="M284:M291" si="53">CONCATENATE("VAR_SetVariable(",E284,", Cells[",J284,"].Temp_C", ", validflag);")</f>
        <v>VAR_SetVariable(VAR_AXPERT_BAT_CHARGING_A, Cells[44].Temp_C, validflag);</v>
      </c>
      <c r="O284" t="str">
        <f t="shared" si="49"/>
        <v>cJSON_AddItemToObject(Uha, "VAR_AXPERT_BAT_CHARGING_A", cJSON_CreateNumber(mVars[VAR_AXPERT_BAT_CHARGING_A]));</v>
      </c>
      <c r="P284" t="str">
        <f t="shared" ref="P284:P291" si="54">CONCATENATE("cJSON_AddItemToObject(Uha, ","""",E284,"""",", cJSON_CreateNumber(mVars[",C284,"]));")</f>
        <v>cJSON_AddItemToObject(Uha, "VAR_AXPERT_BAT_CHARGING_A", cJSON_CreateNumber(mVars[280]));</v>
      </c>
    </row>
    <row r="285" spans="3:16">
      <c r="C285" s="1">
        <v>281</v>
      </c>
      <c r="D285" s="1" t="str">
        <f t="shared" si="48"/>
        <v>0119</v>
      </c>
      <c r="E285" s="29" t="s">
        <v>390</v>
      </c>
      <c r="H285" t="str">
        <f t="shared" si="51"/>
        <v>#define  VAR_AXPERT_BAT_DISCHARGING_A  281</v>
      </c>
      <c r="I285" t="str">
        <f t="shared" si="52"/>
        <v>public const byte VAR_AXPERT_BAT_DISCHARGING_A = 281;</v>
      </c>
      <c r="J285">
        <v>45</v>
      </c>
      <c r="L285" t="str">
        <f t="shared" si="50"/>
        <v>UpdateScanList(VAR_AXPERT_BAT_DISCHARGING_A, 5000);</v>
      </c>
      <c r="M285" t="str">
        <f t="shared" si="53"/>
        <v>VAR_SetVariable(VAR_AXPERT_BAT_DISCHARGING_A, Cells[45].Temp_C, validflag);</v>
      </c>
      <c r="O285" t="str">
        <f t="shared" si="49"/>
        <v>cJSON_AddItemToObject(Uha, "VAR_AXPERT_BAT_DISCHARGING_A", cJSON_CreateNumber(mVars[VAR_AXPERT_BAT_DISCHARGING_A]));</v>
      </c>
      <c r="P285" t="str">
        <f t="shared" si="54"/>
        <v>cJSON_AddItemToObject(Uha, "VAR_AXPERT_BAT_DISCHARGING_A", cJSON_CreateNumber(mVars[281]));</v>
      </c>
    </row>
    <row r="286" spans="3:16">
      <c r="C286" s="1">
        <v>282</v>
      </c>
      <c r="D286" s="1" t="str">
        <f t="shared" si="48"/>
        <v>011A</v>
      </c>
      <c r="E286" s="37" t="s">
        <v>391</v>
      </c>
      <c r="H286" t="str">
        <f t="shared" si="51"/>
        <v>#define  VAR_AXPERT_BAT_VOLTAGE_V10  282</v>
      </c>
      <c r="I286" t="str">
        <f t="shared" si="52"/>
        <v>public const byte VAR_AXPERT_BAT_VOLTAGE_V10 = 282;</v>
      </c>
      <c r="J286">
        <v>46</v>
      </c>
      <c r="L286" t="str">
        <f t="shared" si="50"/>
        <v>UpdateScanList(VAR_AXPERT_BAT_VOLTAGE_V10, 5000);</v>
      </c>
      <c r="M286" t="str">
        <f t="shared" si="53"/>
        <v>VAR_SetVariable(VAR_AXPERT_BAT_VOLTAGE_V10, Cells[46].Temp_C, validflag);</v>
      </c>
      <c r="O286" t="str">
        <f t="shared" si="49"/>
        <v>cJSON_AddItemToObject(Uha, "VAR_AXPERT_BAT_VOLTAGE_V10", cJSON_CreateNumber(mVars[VAR_AXPERT_BAT_VOLTAGE_V10]));</v>
      </c>
      <c r="P286" t="str">
        <f t="shared" si="54"/>
        <v>cJSON_AddItemToObject(Uha, "VAR_AXPERT_BAT_VOLTAGE_V10", cJSON_CreateNumber(mVars[282]));</v>
      </c>
    </row>
    <row r="287" spans="3:16">
      <c r="C287" s="1">
        <v>283</v>
      </c>
      <c r="D287" s="1" t="str">
        <f t="shared" si="48"/>
        <v>011B</v>
      </c>
      <c r="E287" s="29" t="s">
        <v>392</v>
      </c>
      <c r="H287" t="str">
        <f t="shared" si="51"/>
        <v>#define  VAR_AXPERT_PVS1_W  283</v>
      </c>
      <c r="I287" t="str">
        <f t="shared" si="52"/>
        <v>public const byte VAR_AXPERT_PVS1_W = 283;</v>
      </c>
      <c r="J287">
        <v>47</v>
      </c>
      <c r="L287" t="str">
        <f t="shared" si="50"/>
        <v>UpdateScanList(VAR_AXPERT_PVS1_W, 5000);</v>
      </c>
      <c r="M287" t="str">
        <f t="shared" si="53"/>
        <v>VAR_SetVariable(VAR_AXPERT_PVS1_W, Cells[47].Temp_C, validflag);</v>
      </c>
      <c r="O287" t="str">
        <f t="shared" si="49"/>
        <v>cJSON_AddItemToObject(Uha, "VAR_AXPERT_PVS1_W", cJSON_CreateNumber(mVars[VAR_AXPERT_PVS1_W]));</v>
      </c>
      <c r="P287" t="str">
        <f t="shared" si="54"/>
        <v>cJSON_AddItemToObject(Uha, "VAR_AXPERT_PVS1_W", cJSON_CreateNumber(mVars[283]));</v>
      </c>
    </row>
    <row r="288" spans="3:16">
      <c r="C288" s="1">
        <v>284</v>
      </c>
      <c r="D288" s="1" t="str">
        <f t="shared" si="48"/>
        <v>011C</v>
      </c>
      <c r="E288" s="29" t="s">
        <v>394</v>
      </c>
      <c r="H288" t="str">
        <f t="shared" si="51"/>
        <v>#define  VAR_AXPERT_PVS1_V10  284</v>
      </c>
      <c r="I288" t="str">
        <f t="shared" si="52"/>
        <v>public const byte VAR_AXPERT_PVS1_V10 = 284;</v>
      </c>
      <c r="J288">
        <v>48</v>
      </c>
      <c r="L288" t="str">
        <f t="shared" si="50"/>
        <v>UpdateScanList(VAR_AXPERT_PVS1_V10, 5000);</v>
      </c>
      <c r="M288" t="str">
        <f t="shared" si="53"/>
        <v>VAR_SetVariable(VAR_AXPERT_PVS1_V10, Cells[48].Temp_C, validflag);</v>
      </c>
      <c r="O288" t="str">
        <f t="shared" si="49"/>
        <v>cJSON_AddItemToObject(Uha, "VAR_AXPERT_PVS1_V10", cJSON_CreateNumber(mVars[VAR_AXPERT_PVS1_V10]));</v>
      </c>
      <c r="P288" t="str">
        <f t="shared" si="54"/>
        <v>cJSON_AddItemToObject(Uha, "VAR_AXPERT_PVS1_V10", cJSON_CreateNumber(mVars[284]));</v>
      </c>
    </row>
    <row r="289" spans="3:16">
      <c r="C289" s="1">
        <v>285</v>
      </c>
      <c r="D289" s="1" t="str">
        <f t="shared" si="48"/>
        <v>011D</v>
      </c>
      <c r="E289" s="29" t="s">
        <v>393</v>
      </c>
      <c r="H289" t="str">
        <f t="shared" si="51"/>
        <v>#define  VAR_AXPERT_PVS1_A10  285</v>
      </c>
      <c r="I289" t="str">
        <f t="shared" si="52"/>
        <v>public const byte VAR_AXPERT_PVS1_A10 = 285;</v>
      </c>
      <c r="J289">
        <v>49</v>
      </c>
      <c r="L289" t="str">
        <f t="shared" si="50"/>
        <v>UpdateScanList(VAR_AXPERT_PVS1_A10, 5000);</v>
      </c>
      <c r="M289" t="str">
        <f t="shared" si="53"/>
        <v>VAR_SetVariable(VAR_AXPERT_PVS1_A10, Cells[49].Temp_C, validflag);</v>
      </c>
      <c r="O289" t="str">
        <f t="shared" si="49"/>
        <v>cJSON_AddItemToObject(Uha, "VAR_AXPERT_PVS1_A10", cJSON_CreateNumber(mVars[VAR_AXPERT_PVS1_A10]));</v>
      </c>
      <c r="P289" t="str">
        <f t="shared" si="54"/>
        <v>cJSON_AddItemToObject(Uha, "VAR_AXPERT_PVS1_A10", cJSON_CreateNumber(mVars[285]));</v>
      </c>
    </row>
    <row r="290" spans="3:16">
      <c r="C290" s="1">
        <v>286</v>
      </c>
      <c r="D290" s="1" t="str">
        <f t="shared" si="48"/>
        <v>011E</v>
      </c>
      <c r="E290" s="29" t="s">
        <v>395</v>
      </c>
      <c r="H290" t="str">
        <f t="shared" si="51"/>
        <v>#define  VAR_AXPERT_PVS2_W  286</v>
      </c>
      <c r="I290" t="str">
        <f t="shared" si="52"/>
        <v>public const byte VAR_AXPERT_PVS2_W = 286;</v>
      </c>
      <c r="J290">
        <v>50</v>
      </c>
      <c r="L290" t="str">
        <f t="shared" si="50"/>
        <v>UpdateScanList(VAR_AXPERT_PVS2_W, 5000);</v>
      </c>
      <c r="M290" t="str">
        <f t="shared" si="53"/>
        <v>VAR_SetVariable(VAR_AXPERT_PVS2_W, Cells[50].Temp_C, validflag);</v>
      </c>
      <c r="O290" t="str">
        <f t="shared" si="49"/>
        <v>cJSON_AddItemToObject(Uha, "VAR_AXPERT_PVS2_W", cJSON_CreateNumber(mVars[VAR_AXPERT_PVS2_W]));</v>
      </c>
      <c r="P290" t="str">
        <f t="shared" si="54"/>
        <v>cJSON_AddItemToObject(Uha, "VAR_AXPERT_PVS2_W", cJSON_CreateNumber(mVars[286]));</v>
      </c>
    </row>
    <row r="291" spans="3:16">
      <c r="C291" s="1">
        <v>287</v>
      </c>
      <c r="D291" s="1" t="str">
        <f t="shared" si="48"/>
        <v>011F</v>
      </c>
      <c r="E291" s="29" t="s">
        <v>396</v>
      </c>
      <c r="H291" t="str">
        <f t="shared" si="51"/>
        <v>#define  VAR_AXPERT_PVS2_V10  287</v>
      </c>
      <c r="I291" t="str">
        <f t="shared" si="52"/>
        <v>public const byte VAR_AXPERT_PVS2_V10 = 287;</v>
      </c>
      <c r="J291">
        <v>51</v>
      </c>
      <c r="L291" t="str">
        <f t="shared" si="50"/>
        <v>UpdateScanList(VAR_AXPERT_PVS2_V10, 5000);</v>
      </c>
      <c r="M291" t="str">
        <f t="shared" si="53"/>
        <v>VAR_SetVariable(VAR_AXPERT_PVS2_V10, Cells[51].Temp_C, validflag);</v>
      </c>
      <c r="O291" t="str">
        <f t="shared" si="49"/>
        <v>cJSON_AddItemToObject(Uha, "VAR_AXPERT_PVS2_V10", cJSON_CreateNumber(mVars[VAR_AXPERT_PVS2_V10]));</v>
      </c>
      <c r="P291" t="str">
        <f t="shared" si="54"/>
        <v>cJSON_AddItemToObject(Uha, "VAR_AXPERT_PVS2_V10", cJSON_CreateNumber(mVars[287]));</v>
      </c>
    </row>
    <row r="292" spans="3:16">
      <c r="C292" s="1">
        <v>288</v>
      </c>
      <c r="D292" s="1" t="str">
        <f t="shared" si="48"/>
        <v>0120</v>
      </c>
      <c r="E292" s="29" t="s">
        <v>397</v>
      </c>
      <c r="H292" t="str">
        <f t="shared" ref="H292:H310" si="55">CONCATENATE("#define  ",E292,"  ",C292)</f>
        <v>#define  VAR_AXPERT_PVS2_A10  288</v>
      </c>
      <c r="I292" t="str">
        <f t="shared" ref="I292:I310" si="56">CONCATENATE("public const byte ",E292," = ",C292,";")</f>
        <v>public const byte VAR_AXPERT_PVS2_A10 = 288;</v>
      </c>
      <c r="J292">
        <v>52</v>
      </c>
      <c r="L292" t="str">
        <f t="shared" si="50"/>
        <v>UpdateScanList(VAR_AXPERT_PVS2_A10, 5000);</v>
      </c>
      <c r="M292" t="str">
        <f t="shared" ref="M292:M310" si="57">CONCATENATE("VAR_SetVariable(",E292,", Cells[",J292,"].Temp_C", ", validflag);")</f>
        <v>VAR_SetVariable(VAR_AXPERT_PVS2_A10, Cells[52].Temp_C, validflag);</v>
      </c>
      <c r="O292" t="str">
        <f t="shared" si="49"/>
        <v>cJSON_AddItemToObject(Uha, "VAR_AXPERT_PVS2_A10", cJSON_CreateNumber(mVars[VAR_AXPERT_PVS2_A10]));</v>
      </c>
      <c r="P292" t="str">
        <f t="shared" ref="P292:P310" si="58">CONCATENATE("cJSON_AddItemToObject(Uha, ","""",E292,"""",", cJSON_CreateNumber(mVars[",C292,"]));")</f>
        <v>cJSON_AddItemToObject(Uha, "VAR_AXPERT_PVS2_A10", cJSON_CreateNumber(mVars[288]));</v>
      </c>
    </row>
    <row r="293" spans="3:16">
      <c r="C293" s="1">
        <v>289</v>
      </c>
      <c r="D293" s="1" t="str">
        <f t="shared" si="48"/>
        <v>0121</v>
      </c>
      <c r="H293" t="str">
        <f t="shared" si="55"/>
        <v>#define    289</v>
      </c>
      <c r="I293" t="str">
        <f t="shared" si="56"/>
        <v>public const byte  = 289;</v>
      </c>
      <c r="J293">
        <v>53</v>
      </c>
      <c r="L293" t="str">
        <f t="shared" si="50"/>
        <v>UpdateScanList(, 5000);</v>
      </c>
      <c r="M293" t="str">
        <f t="shared" si="57"/>
        <v>VAR_SetVariable(, Cells[53].Temp_C, validflag);</v>
      </c>
      <c r="O293" t="str">
        <f t="shared" si="49"/>
        <v/>
      </c>
      <c r="P293" t="str">
        <f t="shared" si="58"/>
        <v>cJSON_AddItemToObject(Uha, "", cJSON_CreateNumber(mVars[289]));</v>
      </c>
    </row>
    <row r="294" spans="3:16">
      <c r="C294" s="1">
        <v>290</v>
      </c>
      <c r="D294" s="1" t="str">
        <f t="shared" si="48"/>
        <v>0122</v>
      </c>
      <c r="E294" s="37" t="s">
        <v>438</v>
      </c>
      <c r="H294" t="str">
        <f t="shared" si="55"/>
        <v>#define  VAR_AXPERT_BAT_POWER_W  290</v>
      </c>
      <c r="I294" t="str">
        <f t="shared" si="56"/>
        <v>public const byte VAR_AXPERT_BAT_POWER_W = 290;</v>
      </c>
      <c r="J294">
        <v>54</v>
      </c>
      <c r="L294" t="str">
        <f t="shared" si="50"/>
        <v>UpdateScanList(VAR_AXPERT_BAT_POWER_W, 5000);</v>
      </c>
      <c r="M294" t="str">
        <f t="shared" si="57"/>
        <v>VAR_SetVariable(VAR_AXPERT_BAT_POWER_W, Cells[54].Temp_C, validflag);</v>
      </c>
      <c r="O294" t="str">
        <f t="shared" si="49"/>
        <v>cJSON_AddItemToObject(Uha, "VAR_AXPERT_BAT_POWER_W", cJSON_CreateNumber(mVars[VAR_AXPERT_BAT_POWER_W]));</v>
      </c>
      <c r="P294" t="str">
        <f t="shared" si="58"/>
        <v>cJSON_AddItemToObject(Uha, "VAR_AXPERT_BAT_POWER_W", cJSON_CreateNumber(mVars[290]));</v>
      </c>
    </row>
    <row r="295" spans="3:16">
      <c r="C295" s="1">
        <v>291</v>
      </c>
      <c r="D295" s="1" t="str">
        <f t="shared" si="48"/>
        <v>0123</v>
      </c>
      <c r="E295" s="29" t="s">
        <v>419</v>
      </c>
      <c r="H295" t="str">
        <f t="shared" si="55"/>
        <v>#define  VAR_AXPERT_BAT_CURRENT_A  291</v>
      </c>
      <c r="I295" t="str">
        <f t="shared" si="56"/>
        <v>public const byte VAR_AXPERT_BAT_CURRENT_A = 291;</v>
      </c>
      <c r="J295">
        <v>55</v>
      </c>
      <c r="L295" t="str">
        <f t="shared" si="50"/>
        <v>UpdateScanList(VAR_AXPERT_BAT_CURRENT_A, 5000);</v>
      </c>
      <c r="M295" t="str">
        <f t="shared" si="57"/>
        <v>VAR_SetVariable(VAR_AXPERT_BAT_CURRENT_A, Cells[55].Temp_C, validflag);</v>
      </c>
      <c r="O295" t="str">
        <f t="shared" si="49"/>
        <v>cJSON_AddItemToObject(Uha, "VAR_AXPERT_BAT_CURRENT_A", cJSON_CreateNumber(mVars[VAR_AXPERT_BAT_CURRENT_A]));</v>
      </c>
      <c r="P295" t="str">
        <f t="shared" si="58"/>
        <v>cJSON_AddItemToObject(Uha, "VAR_AXPERT_BAT_CURRENT_A", cJSON_CreateNumber(mVars[291]));</v>
      </c>
    </row>
    <row r="296" spans="3:16">
      <c r="C296" s="1">
        <v>292</v>
      </c>
      <c r="D296" s="1" t="str">
        <f t="shared" si="48"/>
        <v>0124</v>
      </c>
      <c r="E296" s="29" t="s">
        <v>417</v>
      </c>
      <c r="H296" t="str">
        <f t="shared" si="55"/>
        <v>#define  VAR_AXPERT_SOLAR_W  292</v>
      </c>
      <c r="I296" t="str">
        <f t="shared" si="56"/>
        <v>public const byte VAR_AXPERT_SOLAR_W = 292;</v>
      </c>
      <c r="J296">
        <v>56</v>
      </c>
      <c r="L296" t="str">
        <f t="shared" si="50"/>
        <v>UpdateScanList(VAR_AXPERT_SOLAR_W, 5000);</v>
      </c>
      <c r="M296" t="str">
        <f t="shared" si="57"/>
        <v>VAR_SetVariable(VAR_AXPERT_SOLAR_W, Cells[56].Temp_C, validflag);</v>
      </c>
      <c r="O296" t="str">
        <f t="shared" si="49"/>
        <v>cJSON_AddItemToObject(Uha, "VAR_AXPERT_SOLAR_W", cJSON_CreateNumber(mVars[VAR_AXPERT_SOLAR_W]));</v>
      </c>
      <c r="P296" t="str">
        <f t="shared" si="58"/>
        <v>cJSON_AddItemToObject(Uha, "VAR_AXPERT_SOLAR_W", cJSON_CreateNumber(mVars[292]));</v>
      </c>
    </row>
    <row r="297" spans="3:16">
      <c r="C297" s="1">
        <v>293</v>
      </c>
      <c r="D297" s="1" t="str">
        <f t="shared" si="48"/>
        <v>0125</v>
      </c>
      <c r="E297" s="29" t="s">
        <v>423</v>
      </c>
      <c r="H297" t="str">
        <f t="shared" si="55"/>
        <v>#define  VAR_AXPERT_ENERGY_TODAY_WH  293</v>
      </c>
      <c r="I297" t="str">
        <f t="shared" si="56"/>
        <v>public const byte VAR_AXPERT_ENERGY_TODAY_WH = 293;</v>
      </c>
      <c r="J297">
        <v>57</v>
      </c>
      <c r="L297" t="str">
        <f t="shared" si="50"/>
        <v>UpdateScanList(VAR_AXPERT_ENERGY_TODAY_WH, 5000);</v>
      </c>
      <c r="M297" t="str">
        <f t="shared" si="57"/>
        <v>VAR_SetVariable(VAR_AXPERT_ENERGY_TODAY_WH, Cells[57].Temp_C, validflag);</v>
      </c>
      <c r="O297" t="str">
        <f t="shared" si="49"/>
        <v>cJSON_AddItemToObject(Uha, "VAR_AXPERT_ENERGY_TODAY_WH", cJSON_CreateNumber(mVars[VAR_AXPERT_ENERGY_TODAY_WH]));</v>
      </c>
      <c r="P297" t="str">
        <f t="shared" si="58"/>
        <v>cJSON_AddItemToObject(Uha, "VAR_AXPERT_ENERGY_TODAY_WH", cJSON_CreateNumber(mVars[293]));</v>
      </c>
    </row>
    <row r="298" spans="3:16">
      <c r="C298" s="1">
        <v>294</v>
      </c>
      <c r="D298" s="1" t="str">
        <f t="shared" si="48"/>
        <v>0126</v>
      </c>
      <c r="E298" s="29" t="s">
        <v>420</v>
      </c>
      <c r="H298" t="str">
        <f t="shared" si="55"/>
        <v>#define  VAR_AXPERT_LOAD_W  294</v>
      </c>
      <c r="I298" t="str">
        <f t="shared" si="56"/>
        <v>public const byte VAR_AXPERT_LOAD_W = 294;</v>
      </c>
      <c r="J298">
        <v>58</v>
      </c>
      <c r="L298" t="str">
        <f t="shared" si="50"/>
        <v>UpdateScanList(VAR_AXPERT_LOAD_W, 5000);</v>
      </c>
      <c r="M298" t="str">
        <f t="shared" si="57"/>
        <v>VAR_SetVariable(VAR_AXPERT_LOAD_W, Cells[58].Temp_C, validflag);</v>
      </c>
      <c r="O298" t="str">
        <f t="shared" si="49"/>
        <v>cJSON_AddItemToObject(Uha, "VAR_AXPERT_LOAD_W", cJSON_CreateNumber(mVars[VAR_AXPERT_LOAD_W]));</v>
      </c>
      <c r="P298" t="str">
        <f t="shared" si="58"/>
        <v>cJSON_AddItemToObject(Uha, "VAR_AXPERT_LOAD_W", cJSON_CreateNumber(mVars[294]));</v>
      </c>
    </row>
    <row r="299" spans="3:16">
      <c r="C299" s="1">
        <v>295</v>
      </c>
      <c r="D299" s="1" t="str">
        <f t="shared" si="48"/>
        <v>0127</v>
      </c>
      <c r="E299" s="29" t="s">
        <v>418</v>
      </c>
      <c r="H299" t="str">
        <f t="shared" si="55"/>
        <v>#define  VAR_AXPERT_DISCHARGING_W  295</v>
      </c>
      <c r="I299" t="str">
        <f t="shared" si="56"/>
        <v>public const byte VAR_AXPERT_DISCHARGING_W = 295;</v>
      </c>
      <c r="J299">
        <v>59</v>
      </c>
      <c r="L299" t="str">
        <f t="shared" si="50"/>
        <v>UpdateScanList(VAR_AXPERT_DISCHARGING_W, 5000);</v>
      </c>
      <c r="M299" t="str">
        <f t="shared" si="57"/>
        <v>VAR_SetVariable(VAR_AXPERT_DISCHARGING_W, Cells[59].Temp_C, validflag);</v>
      </c>
      <c r="O299" t="str">
        <f t="shared" si="49"/>
        <v>cJSON_AddItemToObject(Uha, "VAR_AXPERT_DISCHARGING_W", cJSON_CreateNumber(mVars[VAR_AXPERT_DISCHARGING_W]));</v>
      </c>
      <c r="P299" t="str">
        <f t="shared" si="58"/>
        <v>cJSON_AddItemToObject(Uha, "VAR_AXPERT_DISCHARGING_W", cJSON_CreateNumber(mVars[295]));</v>
      </c>
    </row>
    <row r="300" spans="3:16">
      <c r="C300" s="1">
        <v>296</v>
      </c>
      <c r="D300" s="1" t="str">
        <f t="shared" si="48"/>
        <v>0128</v>
      </c>
      <c r="H300" t="str">
        <f t="shared" si="55"/>
        <v>#define    296</v>
      </c>
      <c r="I300" t="str">
        <f t="shared" si="56"/>
        <v>public const byte  = 296;</v>
      </c>
      <c r="J300">
        <v>60</v>
      </c>
      <c r="L300" t="str">
        <f t="shared" si="50"/>
        <v>UpdateScanList(, 5000);</v>
      </c>
      <c r="M300" t="str">
        <f t="shared" si="57"/>
        <v>VAR_SetVariable(, Cells[60].Temp_C, validflag);</v>
      </c>
      <c r="O300" t="str">
        <f t="shared" si="49"/>
        <v/>
      </c>
      <c r="P300" t="str">
        <f t="shared" si="58"/>
        <v>cJSON_AddItemToObject(Uha, "", cJSON_CreateNumber(mVars[296]));</v>
      </c>
    </row>
    <row r="301" spans="3:16">
      <c r="C301" s="1">
        <v>297</v>
      </c>
      <c r="D301" s="1" t="str">
        <f t="shared" si="48"/>
        <v>0129</v>
      </c>
      <c r="H301" t="str">
        <f t="shared" si="55"/>
        <v>#define    297</v>
      </c>
      <c r="I301" t="str">
        <f t="shared" si="56"/>
        <v>public const byte  = 297;</v>
      </c>
      <c r="J301">
        <v>61</v>
      </c>
      <c r="L301" t="str">
        <f t="shared" si="50"/>
        <v>UpdateScanList(, 5000);</v>
      </c>
      <c r="M301" t="str">
        <f t="shared" si="57"/>
        <v>VAR_SetVariable(, Cells[61].Temp_C, validflag);</v>
      </c>
      <c r="O301" t="str">
        <f t="shared" si="49"/>
        <v/>
      </c>
      <c r="P301" t="str">
        <f t="shared" si="58"/>
        <v>cJSON_AddItemToObject(Uha, "", cJSON_CreateNumber(mVars[297]));</v>
      </c>
    </row>
    <row r="302" spans="3:16">
      <c r="C302" s="1">
        <v>298</v>
      </c>
      <c r="D302" s="1" t="str">
        <f t="shared" si="48"/>
        <v>012A</v>
      </c>
      <c r="H302" t="str">
        <f t="shared" si="55"/>
        <v>#define    298</v>
      </c>
      <c r="I302" t="str">
        <f t="shared" si="56"/>
        <v>public const byte  = 298;</v>
      </c>
      <c r="J302">
        <v>62</v>
      </c>
      <c r="L302" t="str">
        <f t="shared" si="50"/>
        <v>UpdateScanList(, 5000);</v>
      </c>
      <c r="M302" t="str">
        <f t="shared" si="57"/>
        <v>VAR_SetVariable(, Cells[62].Temp_C, validflag);</v>
      </c>
      <c r="O302" t="str">
        <f t="shared" si="49"/>
        <v/>
      </c>
      <c r="P302" t="str">
        <f t="shared" si="58"/>
        <v>cJSON_AddItemToObject(Uha, "", cJSON_CreateNumber(mVars[298]));</v>
      </c>
    </row>
    <row r="303" spans="3:16">
      <c r="C303" s="1">
        <v>299</v>
      </c>
      <c r="D303" s="1" t="str">
        <f t="shared" si="48"/>
        <v>012B</v>
      </c>
      <c r="H303" t="str">
        <f t="shared" si="55"/>
        <v>#define    299</v>
      </c>
      <c r="I303" t="str">
        <f t="shared" si="56"/>
        <v>public const byte  = 299;</v>
      </c>
      <c r="J303">
        <v>63</v>
      </c>
      <c r="L303" t="str">
        <f t="shared" si="50"/>
        <v>UpdateScanList(, 5000);</v>
      </c>
      <c r="M303" t="str">
        <f t="shared" si="57"/>
        <v>VAR_SetVariable(, Cells[63].Temp_C, validflag);</v>
      </c>
      <c r="O303" t="str">
        <f t="shared" si="49"/>
        <v/>
      </c>
      <c r="P303" t="str">
        <f t="shared" si="58"/>
        <v>cJSON_AddItemToObject(Uha, "", cJSON_CreateNumber(mVars[299]));</v>
      </c>
    </row>
    <row r="304" spans="3:16">
      <c r="C304" s="1">
        <v>300</v>
      </c>
      <c r="D304" s="1" t="str">
        <f t="shared" si="48"/>
        <v>012C</v>
      </c>
      <c r="E304" s="34" t="s">
        <v>427</v>
      </c>
      <c r="H304" t="str">
        <f t="shared" si="55"/>
        <v>#define  VAR_LVDC_VDIFF_V100  300</v>
      </c>
      <c r="I304" t="str">
        <f t="shared" si="56"/>
        <v>public const byte VAR_LVDC_VDIFF_V100 = 300;</v>
      </c>
      <c r="J304">
        <v>64</v>
      </c>
      <c r="L304" t="str">
        <f t="shared" si="50"/>
        <v>UpdateScanList(VAR_LVDC_VDIFF_V100, 5000);</v>
      </c>
      <c r="M304" t="str">
        <f t="shared" si="57"/>
        <v>VAR_SetVariable(VAR_LVDC_VDIFF_V100, Cells[64].Temp_C, validflag);</v>
      </c>
      <c r="O304" t="str">
        <f t="shared" si="49"/>
        <v>cJSON_AddItemToObject(Uha, "VAR_LVDC_VDIFF_V100", cJSON_CreateNumber(mVars[VAR_LVDC_VDIFF_V100]));</v>
      </c>
      <c r="P304" t="str">
        <f t="shared" si="58"/>
        <v>cJSON_AddItemToObject(Uha, "VAR_LVDC_VDIFF_V100", cJSON_CreateNumber(mVars[300]));</v>
      </c>
    </row>
    <row r="305" spans="3:16">
      <c r="C305" s="1">
        <v>301</v>
      </c>
      <c r="D305" s="1" t="str">
        <f t="shared" ref="D305:D354" si="59">DEC2HEX(C305,4)</f>
        <v>012D</v>
      </c>
      <c r="E305" s="34" t="s">
        <v>429</v>
      </c>
      <c r="H305" t="str">
        <f t="shared" si="55"/>
        <v>#define  VAR_LVDC_VDIFF_MAX  301</v>
      </c>
      <c r="I305" t="str">
        <f t="shared" si="56"/>
        <v>public const byte VAR_LVDC_VDIFF_MAX = 301;</v>
      </c>
      <c r="J305">
        <v>65</v>
      </c>
      <c r="L305" t="str">
        <f t="shared" si="50"/>
        <v>UpdateScanList(VAR_LVDC_VDIFF_MAX, 5000);</v>
      </c>
      <c r="M305" t="str">
        <f t="shared" si="57"/>
        <v>VAR_SetVariable(VAR_LVDC_VDIFF_MAX, Cells[65].Temp_C, validflag);</v>
      </c>
      <c r="O305" t="str">
        <f t="shared" si="49"/>
        <v>cJSON_AddItemToObject(Uha, "VAR_LVDC_VDIFF_MAX", cJSON_CreateNumber(mVars[VAR_LVDC_VDIFF_MAX]));</v>
      </c>
      <c r="P305" t="str">
        <f t="shared" si="58"/>
        <v>cJSON_AddItemToObject(Uha, "VAR_LVDC_VDIFF_MAX", cJSON_CreateNumber(mVars[301]));</v>
      </c>
    </row>
    <row r="306" spans="3:16">
      <c r="C306" s="1">
        <v>302</v>
      </c>
      <c r="D306" s="1" t="str">
        <f t="shared" si="59"/>
        <v>012E</v>
      </c>
      <c r="E306" s="34" t="s">
        <v>430</v>
      </c>
      <c r="H306" t="str">
        <f t="shared" si="55"/>
        <v>#define  VAR_LVDC_CURRENT_A  302</v>
      </c>
      <c r="I306" t="str">
        <f t="shared" si="56"/>
        <v>public const byte VAR_LVDC_CURRENT_A = 302;</v>
      </c>
      <c r="J306">
        <v>66</v>
      </c>
      <c r="L306" t="str">
        <f t="shared" si="50"/>
        <v>UpdateScanList(VAR_LVDC_CURRENT_A, 5000);</v>
      </c>
      <c r="M306" t="str">
        <f t="shared" si="57"/>
        <v>VAR_SetVariable(VAR_LVDC_CURRENT_A, Cells[66].Temp_C, validflag);</v>
      </c>
      <c r="O306" t="str">
        <f t="shared" si="49"/>
        <v>cJSON_AddItemToObject(Uha, "VAR_LVDC_CURRENT_A", cJSON_CreateNumber(mVars[VAR_LVDC_CURRENT_A]));</v>
      </c>
      <c r="P306" t="str">
        <f t="shared" si="58"/>
        <v>cJSON_AddItemToObject(Uha, "VAR_LVDC_CURRENT_A", cJSON_CreateNumber(mVars[302]));</v>
      </c>
    </row>
    <row r="307" spans="3:16">
      <c r="C307" s="1">
        <v>303</v>
      </c>
      <c r="D307" s="1" t="str">
        <f t="shared" si="59"/>
        <v>012F</v>
      </c>
      <c r="E307" s="34" t="s">
        <v>432</v>
      </c>
      <c r="H307" t="str">
        <f t="shared" si="55"/>
        <v>#define  VAR_LVDC_LOSS_W  303</v>
      </c>
      <c r="I307" t="str">
        <f t="shared" si="56"/>
        <v>public const byte VAR_LVDC_LOSS_W = 303;</v>
      </c>
      <c r="J307">
        <v>67</v>
      </c>
      <c r="L307" t="str">
        <f t="shared" si="50"/>
        <v>UpdateScanList(VAR_LVDC_LOSS_W, 5000);</v>
      </c>
      <c r="M307" t="str">
        <f t="shared" si="57"/>
        <v>VAR_SetVariable(VAR_LVDC_LOSS_W, Cells[67].Temp_C, validflag);</v>
      </c>
      <c r="O307" t="str">
        <f t="shared" si="49"/>
        <v>cJSON_AddItemToObject(Uha, "VAR_LVDC_LOSS_W", cJSON_CreateNumber(mVars[VAR_LVDC_LOSS_W]));</v>
      </c>
      <c r="P307" t="str">
        <f t="shared" si="58"/>
        <v>cJSON_AddItemToObject(Uha, "VAR_LVDC_LOSS_W", cJSON_CreateNumber(mVars[303]));</v>
      </c>
    </row>
    <row r="308" spans="3:16">
      <c r="C308" s="1">
        <v>304</v>
      </c>
      <c r="D308" s="1" t="str">
        <f t="shared" si="59"/>
        <v>0130</v>
      </c>
      <c r="E308" s="34" t="s">
        <v>434</v>
      </c>
      <c r="H308" t="str">
        <f t="shared" si="55"/>
        <v>#define  VAR_LVDC_LOSS_CONS_WH  304</v>
      </c>
      <c r="I308" t="str">
        <f t="shared" si="56"/>
        <v>public const byte VAR_LVDC_LOSS_CONS_WH = 304;</v>
      </c>
      <c r="J308">
        <v>68</v>
      </c>
      <c r="L308" t="str">
        <f t="shared" si="50"/>
        <v>UpdateScanList(VAR_LVDC_LOSS_CONS_WH, 5000);</v>
      </c>
      <c r="M308" t="str">
        <f t="shared" si="57"/>
        <v>VAR_SetVariable(VAR_LVDC_LOSS_CONS_WH, Cells[68].Temp_C, validflag);</v>
      </c>
      <c r="O308" t="str">
        <f t="shared" si="49"/>
        <v>cJSON_AddItemToObject(Uha, "VAR_LVDC_LOSS_CONS_WH", cJSON_CreateNumber(mVars[VAR_LVDC_LOSS_CONS_WH]));</v>
      </c>
      <c r="P308" t="str">
        <f t="shared" si="58"/>
        <v>cJSON_AddItemToObject(Uha, "VAR_LVDC_LOSS_CONS_WH", cJSON_CreateNumber(mVars[304]));</v>
      </c>
    </row>
    <row r="309" spans="3:16">
      <c r="C309" s="1">
        <v>305</v>
      </c>
      <c r="D309" s="1" t="str">
        <f t="shared" si="59"/>
        <v>0131</v>
      </c>
      <c r="H309" t="str">
        <f t="shared" si="55"/>
        <v>#define    305</v>
      </c>
      <c r="I309" t="str">
        <f t="shared" si="56"/>
        <v>public const byte  = 305;</v>
      </c>
      <c r="J309">
        <v>69</v>
      </c>
      <c r="L309" t="str">
        <f t="shared" si="50"/>
        <v>UpdateScanList(, 5000);</v>
      </c>
      <c r="M309" t="str">
        <f t="shared" si="57"/>
        <v>VAR_SetVariable(, Cells[69].Temp_C, validflag);</v>
      </c>
      <c r="O309" t="str">
        <f t="shared" si="49"/>
        <v/>
      </c>
      <c r="P309" t="str">
        <f t="shared" si="58"/>
        <v>cJSON_AddItemToObject(Uha, "", cJSON_CreateNumber(mVars[305]));</v>
      </c>
    </row>
    <row r="310" spans="3:16">
      <c r="C310" s="1">
        <v>306</v>
      </c>
      <c r="D310" s="1" t="str">
        <f t="shared" si="59"/>
        <v>0132</v>
      </c>
      <c r="H310" t="str">
        <f t="shared" si="55"/>
        <v>#define    306</v>
      </c>
      <c r="I310" t="str">
        <f t="shared" si="56"/>
        <v>public const byte  = 306;</v>
      </c>
      <c r="J310">
        <v>70</v>
      </c>
      <c r="L310" t="str">
        <f t="shared" si="50"/>
        <v>UpdateScanList(, 5000);</v>
      </c>
      <c r="M310" t="str">
        <f t="shared" si="57"/>
        <v>VAR_SetVariable(, Cells[70].Temp_C, validflag);</v>
      </c>
      <c r="O310" t="str">
        <f t="shared" si="49"/>
        <v/>
      </c>
      <c r="P310" t="str">
        <f t="shared" si="58"/>
        <v>cJSON_AddItemToObject(Uha, "", cJSON_CreateNumber(mVars[306]));</v>
      </c>
    </row>
    <row r="311" spans="3:16">
      <c r="C311" s="1">
        <v>307</v>
      </c>
      <c r="D311" s="1" t="str">
        <f t="shared" si="59"/>
        <v>0133</v>
      </c>
      <c r="O311" t="str">
        <f t="shared" si="49"/>
        <v/>
      </c>
    </row>
    <row r="312" spans="3:16">
      <c r="C312" s="1">
        <v>308</v>
      </c>
      <c r="D312" s="1" t="str">
        <f t="shared" si="59"/>
        <v>0134</v>
      </c>
    </row>
    <row r="313" spans="3:16">
      <c r="C313" s="1">
        <v>309</v>
      </c>
      <c r="D313" s="1" t="str">
        <f t="shared" si="59"/>
        <v>0135</v>
      </c>
    </row>
    <row r="314" spans="3:16">
      <c r="C314" s="1">
        <v>310</v>
      </c>
      <c r="D314" s="1" t="str">
        <f t="shared" si="59"/>
        <v>0136</v>
      </c>
    </row>
    <row r="315" spans="3:16">
      <c r="C315" s="1">
        <v>311</v>
      </c>
      <c r="D315" s="1" t="str">
        <f t="shared" si="59"/>
        <v>0137</v>
      </c>
    </row>
    <row r="316" spans="3:16">
      <c r="C316" s="1">
        <v>312</v>
      </c>
      <c r="D316" s="1" t="str">
        <f t="shared" si="59"/>
        <v>0138</v>
      </c>
    </row>
    <row r="317" spans="3:16">
      <c r="C317" s="1">
        <v>313</v>
      </c>
      <c r="D317" s="1" t="str">
        <f t="shared" si="59"/>
        <v>0139</v>
      </c>
    </row>
    <row r="318" spans="3:16">
      <c r="C318" s="1">
        <v>314</v>
      </c>
      <c r="D318" s="1" t="str">
        <f t="shared" si="59"/>
        <v>013A</v>
      </c>
    </row>
    <row r="319" spans="3:16">
      <c r="C319" s="1">
        <v>315</v>
      </c>
      <c r="D319" s="1" t="str">
        <f t="shared" si="59"/>
        <v>013B</v>
      </c>
    </row>
    <row r="320" spans="3:16">
      <c r="C320" s="1">
        <v>316</v>
      </c>
      <c r="D320" s="1" t="str">
        <f t="shared" si="59"/>
        <v>013C</v>
      </c>
    </row>
    <row r="321" spans="3:4">
      <c r="C321" s="1">
        <v>317</v>
      </c>
      <c r="D321" s="1" t="str">
        <f t="shared" si="59"/>
        <v>013D</v>
      </c>
    </row>
    <row r="322" spans="3:4">
      <c r="C322" s="1">
        <v>318</v>
      </c>
      <c r="D322" s="1" t="str">
        <f t="shared" si="59"/>
        <v>013E</v>
      </c>
    </row>
    <row r="323" spans="3:4">
      <c r="C323" s="1">
        <v>319</v>
      </c>
      <c r="D323" s="1" t="str">
        <f t="shared" si="59"/>
        <v>013F</v>
      </c>
    </row>
    <row r="324" spans="3:4">
      <c r="C324" s="1">
        <v>320</v>
      </c>
      <c r="D324" s="1" t="str">
        <f t="shared" si="59"/>
        <v>0140</v>
      </c>
    </row>
    <row r="325" spans="3:4">
      <c r="C325" s="1">
        <v>321</v>
      </c>
      <c r="D325" s="1" t="str">
        <f t="shared" si="59"/>
        <v>0141</v>
      </c>
    </row>
    <row r="326" spans="3:4">
      <c r="C326" s="1">
        <v>322</v>
      </c>
      <c r="D326" s="1" t="str">
        <f t="shared" si="59"/>
        <v>0142</v>
      </c>
    </row>
    <row r="327" spans="3:4">
      <c r="C327" s="1">
        <v>323</v>
      </c>
      <c r="D327" s="1" t="str">
        <f t="shared" si="59"/>
        <v>0143</v>
      </c>
    </row>
    <row r="328" spans="3:4">
      <c r="C328" s="1">
        <v>324</v>
      </c>
      <c r="D328" s="1" t="str">
        <f t="shared" si="59"/>
        <v>0144</v>
      </c>
    </row>
    <row r="329" spans="3:4">
      <c r="C329" s="1">
        <v>325</v>
      </c>
      <c r="D329" s="1" t="str">
        <f t="shared" si="59"/>
        <v>0145</v>
      </c>
    </row>
    <row r="330" spans="3:4">
      <c r="C330" s="1">
        <v>326</v>
      </c>
      <c r="D330" s="1" t="str">
        <f t="shared" si="59"/>
        <v>0146</v>
      </c>
    </row>
    <row r="331" spans="3:4">
      <c r="C331" s="1">
        <v>327</v>
      </c>
      <c r="D331" s="1" t="str">
        <f t="shared" si="59"/>
        <v>0147</v>
      </c>
    </row>
    <row r="332" spans="3:4">
      <c r="C332" s="1">
        <v>328</v>
      </c>
      <c r="D332" s="1" t="str">
        <f t="shared" si="59"/>
        <v>0148</v>
      </c>
    </row>
    <row r="333" spans="3:4">
      <c r="C333" s="1">
        <v>329</v>
      </c>
      <c r="D333" s="1" t="str">
        <f t="shared" si="59"/>
        <v>0149</v>
      </c>
    </row>
    <row r="334" spans="3:4">
      <c r="C334" s="1">
        <v>330</v>
      </c>
      <c r="D334" s="1" t="str">
        <f t="shared" si="59"/>
        <v>014A</v>
      </c>
    </row>
    <row r="335" spans="3:4">
      <c r="C335" s="1">
        <v>331</v>
      </c>
      <c r="D335" s="1" t="str">
        <f t="shared" si="59"/>
        <v>014B</v>
      </c>
    </row>
    <row r="336" spans="3:4">
      <c r="C336" s="1">
        <v>332</v>
      </c>
      <c r="D336" s="1" t="str">
        <f t="shared" si="59"/>
        <v>014C</v>
      </c>
    </row>
    <row r="337" spans="3:4">
      <c r="C337" s="1">
        <v>333</v>
      </c>
      <c r="D337" s="1" t="str">
        <f t="shared" si="59"/>
        <v>014D</v>
      </c>
    </row>
    <row r="338" spans="3:4">
      <c r="C338" s="1">
        <v>334</v>
      </c>
      <c r="D338" s="1" t="str">
        <f t="shared" si="59"/>
        <v>014E</v>
      </c>
    </row>
    <row r="339" spans="3:4">
      <c r="C339" s="1">
        <v>335</v>
      </c>
      <c r="D339" s="1" t="str">
        <f t="shared" si="59"/>
        <v>014F</v>
      </c>
    </row>
    <row r="340" spans="3:4">
      <c r="C340" s="1">
        <v>336</v>
      </c>
      <c r="D340" s="1" t="str">
        <f t="shared" si="59"/>
        <v>0150</v>
      </c>
    </row>
    <row r="341" spans="3:4">
      <c r="C341" s="1">
        <v>337</v>
      </c>
      <c r="D341" s="1" t="str">
        <f t="shared" si="59"/>
        <v>0151</v>
      </c>
    </row>
    <row r="342" spans="3:4">
      <c r="C342" s="1">
        <v>338</v>
      </c>
      <c r="D342" s="1" t="str">
        <f t="shared" si="59"/>
        <v>0152</v>
      </c>
    </row>
    <row r="343" spans="3:4">
      <c r="C343" s="1">
        <v>339</v>
      </c>
      <c r="D343" s="1" t="str">
        <f t="shared" si="59"/>
        <v>0153</v>
      </c>
    </row>
    <row r="344" spans="3:4">
      <c r="C344" s="1">
        <v>340</v>
      </c>
      <c r="D344" s="1" t="str">
        <f t="shared" si="59"/>
        <v>0154</v>
      </c>
    </row>
    <row r="345" spans="3:4">
      <c r="C345" s="1">
        <v>341</v>
      </c>
      <c r="D345" s="1" t="str">
        <f t="shared" si="59"/>
        <v>0155</v>
      </c>
    </row>
    <row r="346" spans="3:4">
      <c r="C346" s="1">
        <v>342</v>
      </c>
      <c r="D346" s="1" t="str">
        <f t="shared" si="59"/>
        <v>0156</v>
      </c>
    </row>
    <row r="347" spans="3:4">
      <c r="C347" s="1">
        <v>343</v>
      </c>
      <c r="D347" s="1" t="str">
        <f t="shared" si="59"/>
        <v>0157</v>
      </c>
    </row>
    <row r="348" spans="3:4">
      <c r="C348" s="1">
        <v>344</v>
      </c>
      <c r="D348" s="1" t="str">
        <f t="shared" si="59"/>
        <v>0158</v>
      </c>
    </row>
    <row r="349" spans="3:4">
      <c r="C349" s="1">
        <v>345</v>
      </c>
      <c r="D349" s="1" t="str">
        <f t="shared" si="59"/>
        <v>0159</v>
      </c>
    </row>
    <row r="350" spans="3:4">
      <c r="C350" s="1">
        <v>346</v>
      </c>
      <c r="D350" s="1" t="str">
        <f t="shared" si="59"/>
        <v>015A</v>
      </c>
    </row>
    <row r="351" spans="3:4">
      <c r="C351" s="1">
        <v>347</v>
      </c>
      <c r="D351" s="1" t="str">
        <f t="shared" si="59"/>
        <v>015B</v>
      </c>
    </row>
    <row r="352" spans="3:4">
      <c r="C352" s="1">
        <v>348</v>
      </c>
      <c r="D352" s="1" t="str">
        <f t="shared" si="59"/>
        <v>015C</v>
      </c>
    </row>
    <row r="353" spans="3:4">
      <c r="C353" s="1">
        <v>349</v>
      </c>
      <c r="D353" s="1" t="str">
        <f t="shared" si="59"/>
        <v>015D</v>
      </c>
    </row>
    <row r="354" spans="3:4">
      <c r="C354" s="1">
        <v>350</v>
      </c>
      <c r="D354" s="1" t="str">
        <f t="shared" si="59"/>
        <v>015E</v>
      </c>
    </row>
  </sheetData>
  <mergeCells count="2">
    <mergeCell ref="B4:B103"/>
    <mergeCell ref="B104:B164"/>
  </mergeCell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dimension ref="A1:P352"/>
  <sheetViews>
    <sheetView topLeftCell="C70" zoomScale="70" zoomScaleNormal="70" workbookViewId="0">
      <selection activeCell="H21" sqref="H21"/>
    </sheetView>
  </sheetViews>
  <sheetFormatPr defaultRowHeight="15"/>
  <cols>
    <col min="1" max="1" width="4.42578125" customWidth="1"/>
    <col min="3" max="3" width="6.28515625" customWidth="1"/>
    <col min="5" max="5" width="39.28515625" customWidth="1"/>
    <col min="7" max="7" width="8.42578125" customWidth="1"/>
    <col min="8" max="8" width="47.85546875" customWidth="1"/>
    <col min="9" max="9" width="51.140625" customWidth="1"/>
    <col min="11" max="11" width="6.28515625" customWidth="1"/>
    <col min="12" max="12" width="74" customWidth="1"/>
    <col min="13" max="13" width="72.5703125" customWidth="1"/>
    <col min="14" max="14" width="26.7109375" customWidth="1"/>
    <col min="15" max="15" width="151.5703125" customWidth="1"/>
    <col min="16" max="16" width="113.28515625" customWidth="1"/>
  </cols>
  <sheetData>
    <row r="1" spans="2:16">
      <c r="B1" t="s">
        <v>2</v>
      </c>
      <c r="C1" t="s">
        <v>0</v>
      </c>
      <c r="D1" t="s">
        <v>1</v>
      </c>
      <c r="E1" t="s">
        <v>4</v>
      </c>
      <c r="F1" t="s">
        <v>52</v>
      </c>
    </row>
    <row r="2" spans="2:16">
      <c r="B2" s="40"/>
      <c r="C2" s="1">
        <v>0</v>
      </c>
      <c r="D2" s="1" t="str">
        <f t="shared" ref="D2:D65" si="0">DEC2HEX(C2,4)</f>
        <v>0000</v>
      </c>
      <c r="H2" t="str">
        <f t="shared" ref="H2:H65" si="1">CONCATENATE("#define  ",E2,"  ",C2)</f>
        <v>#define    0</v>
      </c>
      <c r="I2" t="str">
        <f t="shared" ref="I2:I65" si="2">CONCATENATE("public const byte ",E2," = ",C2,";")</f>
        <v>public const byte  = 0;</v>
      </c>
    </row>
    <row r="3" spans="2:16">
      <c r="B3" s="40"/>
      <c r="C3" s="1">
        <v>1</v>
      </c>
      <c r="D3" s="1" t="str">
        <f t="shared" si="0"/>
        <v>0001</v>
      </c>
      <c r="E3" t="s">
        <v>143</v>
      </c>
      <c r="H3" t="str">
        <f t="shared" si="1"/>
        <v>#define  VAR_NETWORK_STATUS  1</v>
      </c>
      <c r="I3" t="str">
        <f t="shared" si="2"/>
        <v>public const byte VAR_NETWORK_STATUS = 1;</v>
      </c>
    </row>
    <row r="4" spans="2:16">
      <c r="B4" s="40"/>
      <c r="C4" s="1">
        <v>2</v>
      </c>
      <c r="D4" s="1" t="str">
        <f t="shared" si="0"/>
        <v>0002</v>
      </c>
      <c r="H4" t="str">
        <f t="shared" si="1"/>
        <v>#define    2</v>
      </c>
      <c r="I4" t="str">
        <f t="shared" si="2"/>
        <v>public const byte  = 2;</v>
      </c>
    </row>
    <row r="5" spans="2:16">
      <c r="B5" s="40"/>
      <c r="C5" s="1">
        <v>3</v>
      </c>
      <c r="D5" s="1" t="str">
        <f t="shared" si="0"/>
        <v>0003</v>
      </c>
      <c r="H5" t="str">
        <f t="shared" si="1"/>
        <v>#define    3</v>
      </c>
      <c r="I5" t="str">
        <f t="shared" si="2"/>
        <v>public const byte  = 3;</v>
      </c>
    </row>
    <row r="6" spans="2:16">
      <c r="B6" s="40"/>
      <c r="C6" s="1">
        <v>4</v>
      </c>
      <c r="D6" s="1" t="str">
        <f t="shared" si="0"/>
        <v>0004</v>
      </c>
      <c r="H6" t="str">
        <f t="shared" si="1"/>
        <v>#define    4</v>
      </c>
      <c r="I6" t="str">
        <f t="shared" si="2"/>
        <v>public const byte  = 4;</v>
      </c>
    </row>
    <row r="7" spans="2:16">
      <c r="B7" s="40"/>
      <c r="C7" s="1">
        <v>5</v>
      </c>
      <c r="D7" s="1" t="str">
        <f t="shared" si="0"/>
        <v>0005</v>
      </c>
      <c r="H7" t="str">
        <f t="shared" si="1"/>
        <v>#define    5</v>
      </c>
      <c r="I7" t="str">
        <f t="shared" si="2"/>
        <v>public const byte  = 5;</v>
      </c>
    </row>
    <row r="8" spans="2:16">
      <c r="B8" s="40"/>
      <c r="C8" s="1">
        <v>6</v>
      </c>
      <c r="D8" s="1" t="str">
        <f t="shared" si="0"/>
        <v>0006</v>
      </c>
      <c r="H8" t="str">
        <f t="shared" si="1"/>
        <v>#define    6</v>
      </c>
      <c r="I8" t="str">
        <f t="shared" si="2"/>
        <v>public const byte  = 6;</v>
      </c>
    </row>
    <row r="9" spans="2:16">
      <c r="B9" s="40"/>
      <c r="C9" s="1">
        <v>7</v>
      </c>
      <c r="D9" s="1" t="str">
        <f t="shared" si="0"/>
        <v>0007</v>
      </c>
      <c r="H9" t="str">
        <f t="shared" si="1"/>
        <v>#define    7</v>
      </c>
      <c r="I9" t="str">
        <f t="shared" si="2"/>
        <v>public const byte  = 7;</v>
      </c>
      <c r="O9" t="str">
        <f>IF(ISBLANK(E9),"","text")</f>
        <v/>
      </c>
    </row>
    <row r="10" spans="2:16">
      <c r="B10" s="40"/>
      <c r="C10" s="1">
        <v>8</v>
      </c>
      <c r="D10" s="1" t="str">
        <f t="shared" si="0"/>
        <v>0008</v>
      </c>
      <c r="E10" s="27" t="s">
        <v>415</v>
      </c>
      <c r="H10" t="str">
        <f>CONCATENATE("#define  ",E10,"  ",C10)</f>
        <v>#define  VAR_SOLAR_POWER_W  8</v>
      </c>
      <c r="I10" t="str">
        <f t="shared" si="2"/>
        <v>public const byte VAR_SOLAR_POWER_W = 8;</v>
      </c>
      <c r="L10" t="str">
        <f>CONCATENATE("UpdateScanList(",E10, ", 5000);")</f>
        <v>UpdateScanList(VAR_SOLAR_POWER_W, 5000);</v>
      </c>
      <c r="O10" t="str">
        <f>IF(ISBLANK(E10),"",CONCATENATE("cJSON_AddItemToObject(Uha, ","""",E10,"""",", cJSON_CreateNumber(mVars[",E10,"]));"))</f>
        <v>cJSON_AddItemToObject(Uha, "VAR_SOLAR_POWER_W", cJSON_CreateNumber(mVars[VAR_SOLAR_POWER_W]));</v>
      </c>
    </row>
    <row r="11" spans="2:16">
      <c r="B11" s="40"/>
      <c r="C11" s="1">
        <v>9</v>
      </c>
      <c r="D11" s="1" t="str">
        <f t="shared" si="0"/>
        <v>0009</v>
      </c>
      <c r="E11" s="27" t="s">
        <v>439</v>
      </c>
      <c r="H11" t="str">
        <f t="shared" si="1"/>
        <v>#define  VAR_SOLAR_ENERGY_TODAY_10WH  9</v>
      </c>
      <c r="I11" t="str">
        <f t="shared" si="2"/>
        <v>public const byte VAR_SOLAR_ENERGY_TODAY_10WH = 9;</v>
      </c>
      <c r="L11" t="str">
        <f>CONCATENATE("UpdateScanList(",E11, ", 5000);")</f>
        <v>UpdateScanList(VAR_SOLAR_ENERGY_TODAY_10WH, 5000);</v>
      </c>
      <c r="O11" t="str">
        <f t="shared" ref="O11:O74" si="3">IF(ISBLANK(E11),"",CONCATENATE("cJSON_AddItemToObject(Uha, ","""",E11,"""",", cJSON_CreateNumber(mVars[",E11,"]));"))</f>
        <v>cJSON_AddItemToObject(Uha, "VAR_SOLAR_ENERGY_TODAY_10WH", cJSON_CreateNumber(mVars[VAR_SOLAR_ENERGY_TODAY_10WH]));</v>
      </c>
    </row>
    <row r="12" spans="2:16">
      <c r="B12" s="40"/>
      <c r="C12" s="1">
        <v>10</v>
      </c>
      <c r="D12" s="1" t="str">
        <f t="shared" si="0"/>
        <v>000A</v>
      </c>
      <c r="E12" s="27" t="s">
        <v>137</v>
      </c>
      <c r="H12" t="str">
        <f>CONCATENATE("#define  ",E12,"  ",C12)</f>
        <v>#define  VAR_BAT_SOC  10</v>
      </c>
      <c r="I12" t="str">
        <f t="shared" si="2"/>
        <v>public const byte VAR_BAT_SOC = 10;</v>
      </c>
      <c r="L12" t="str">
        <f>CONCATENATE("UpdateScanList(",E12, ", 5000);")</f>
        <v>UpdateScanList(VAR_BAT_SOC, 5000);</v>
      </c>
      <c r="O12" t="str">
        <f t="shared" si="3"/>
        <v>cJSON_AddItemToObject(Uha, "VAR_BAT_SOC", cJSON_CreateNumber(mVars[VAR_BAT_SOC]));</v>
      </c>
      <c r="P12" t="str">
        <f>CONCATENATE("cJSON_AddItemToObject(Uha, ","""",E12,"""",", cJSON_CreateNumber(mVars[",C12,"]));")</f>
        <v>cJSON_AddItemToObject(Uha, "VAR_BAT_SOC", cJSON_CreateNumber(mVars[10]));</v>
      </c>
    </row>
    <row r="13" spans="2:16">
      <c r="B13" s="40"/>
      <c r="C13" s="1">
        <v>11</v>
      </c>
      <c r="D13" s="1" t="str">
        <f t="shared" si="0"/>
        <v>000B</v>
      </c>
      <c r="E13" s="27" t="s">
        <v>138</v>
      </c>
      <c r="H13" t="str">
        <f t="shared" si="1"/>
        <v>#define  VAR_BAT_VOLTAGE_V10  11</v>
      </c>
      <c r="I13" t="str">
        <f t="shared" si="2"/>
        <v>public const byte VAR_BAT_VOLTAGE_V10 = 11;</v>
      </c>
      <c r="L13" t="str">
        <f t="shared" ref="L13:L76" si="4">CONCATENATE("UpdateScanList(",E13, ", 5000);")</f>
        <v>UpdateScanList(VAR_BAT_VOLTAGE_V10, 5000);</v>
      </c>
      <c r="O13" t="str">
        <f t="shared" si="3"/>
        <v>cJSON_AddItemToObject(Uha, "VAR_BAT_VOLTAGE_V10", cJSON_CreateNumber(mVars[VAR_BAT_VOLTAGE_V10]));</v>
      </c>
      <c r="P13" t="str">
        <f t="shared" ref="P13:P52" si="5">CONCATENATE("cJSON_AddItemToObject(Uha, ","""",E13,"""",", cJSON_CreateNumber(mVars[",C13,"]));")</f>
        <v>cJSON_AddItemToObject(Uha, "VAR_BAT_VOLTAGE_V10", cJSON_CreateNumber(mVars[11]));</v>
      </c>
    </row>
    <row r="14" spans="2:16">
      <c r="B14" s="40"/>
      <c r="C14" s="1">
        <v>12</v>
      </c>
      <c r="D14" s="1" t="str">
        <f t="shared" si="0"/>
        <v>000C</v>
      </c>
      <c r="E14" s="36" t="s">
        <v>309</v>
      </c>
      <c r="H14" t="str">
        <f t="shared" si="1"/>
        <v>#define  VAR_LOAD_A100  12</v>
      </c>
      <c r="I14" t="str">
        <f t="shared" si="2"/>
        <v>public const byte VAR_LOAD_A100 = 12;</v>
      </c>
      <c r="L14" t="str">
        <f t="shared" si="4"/>
        <v>UpdateScanList(VAR_LOAD_A100, 5000);</v>
      </c>
      <c r="O14" t="str">
        <f t="shared" si="3"/>
        <v>cJSON_AddItemToObject(Uha, "VAR_LOAD_A100", cJSON_CreateNumber(mVars[VAR_LOAD_A100]));</v>
      </c>
      <c r="P14" t="str">
        <f t="shared" si="5"/>
        <v>cJSON_AddItemToObject(Uha, "VAR_LOAD_A100", cJSON_CreateNumber(mVars[12]));</v>
      </c>
    </row>
    <row r="15" spans="2:16">
      <c r="B15" s="40"/>
      <c r="C15" s="1">
        <v>13</v>
      </c>
      <c r="D15" s="1" t="str">
        <f t="shared" si="0"/>
        <v>000D</v>
      </c>
      <c r="E15" s="36" t="s">
        <v>139</v>
      </c>
      <c r="H15" t="str">
        <f t="shared" si="1"/>
        <v>#define  VAR_CHARGING_A10  13</v>
      </c>
      <c r="I15" t="str">
        <f t="shared" si="2"/>
        <v>public const byte VAR_CHARGING_A10 = 13;</v>
      </c>
      <c r="L15" t="str">
        <f t="shared" si="4"/>
        <v>UpdateScanList(VAR_CHARGING_A10, 5000);</v>
      </c>
      <c r="O15" t="str">
        <f t="shared" si="3"/>
        <v>cJSON_AddItemToObject(Uha, "VAR_CHARGING_A10", cJSON_CreateNumber(mVars[VAR_CHARGING_A10]));</v>
      </c>
      <c r="P15" t="str">
        <f t="shared" si="5"/>
        <v>cJSON_AddItemToObject(Uha, "VAR_CHARGING_A10", cJSON_CreateNumber(mVars[13]));</v>
      </c>
    </row>
    <row r="16" spans="2:16">
      <c r="B16" s="40"/>
      <c r="C16" s="1">
        <v>14</v>
      </c>
      <c r="D16" s="1" t="str">
        <f t="shared" si="0"/>
        <v>000E</v>
      </c>
      <c r="E16" s="27" t="s">
        <v>168</v>
      </c>
      <c r="H16" t="str">
        <f t="shared" si="1"/>
        <v>#define  VAR_BAT_CURRENT_A10  14</v>
      </c>
      <c r="I16" t="str">
        <f t="shared" si="2"/>
        <v>public const byte VAR_BAT_CURRENT_A10 = 14;</v>
      </c>
      <c r="L16" t="str">
        <f t="shared" si="4"/>
        <v>UpdateScanList(VAR_BAT_CURRENT_A10, 5000);</v>
      </c>
      <c r="O16" t="str">
        <f t="shared" si="3"/>
        <v>cJSON_AddItemToObject(Uha, "VAR_BAT_CURRENT_A10", cJSON_CreateNumber(mVars[VAR_BAT_CURRENT_A10]));</v>
      </c>
      <c r="P16" t="str">
        <f t="shared" si="5"/>
        <v>cJSON_AddItemToObject(Uha, "VAR_BAT_CURRENT_A10", cJSON_CreateNumber(mVars[14]));</v>
      </c>
    </row>
    <row r="17" spans="2:16">
      <c r="B17" s="40"/>
      <c r="C17" s="1">
        <v>15</v>
      </c>
      <c r="D17" s="1" t="str">
        <f t="shared" si="0"/>
        <v>000F</v>
      </c>
      <c r="E17" s="27" t="s">
        <v>479</v>
      </c>
      <c r="H17" t="str">
        <f t="shared" si="1"/>
        <v>#define  VAR_CONS_TODAY_10WH  15</v>
      </c>
      <c r="I17" t="str">
        <f t="shared" si="2"/>
        <v>public const byte VAR_CONS_TODAY_10WH = 15;</v>
      </c>
      <c r="L17" t="str">
        <f t="shared" si="4"/>
        <v>UpdateScanList(VAR_CONS_TODAY_10WH, 5000);</v>
      </c>
      <c r="O17" t="str">
        <f t="shared" si="3"/>
        <v>cJSON_AddItemToObject(Uha, "VAR_CONS_TODAY_10WH", cJSON_CreateNumber(mVars[VAR_CONS_TODAY_10WH]));</v>
      </c>
      <c r="P17" t="str">
        <f t="shared" si="5"/>
        <v>cJSON_AddItemToObject(Uha, "VAR_CONS_TODAY_10WH", cJSON_CreateNumber(mVars[15]));</v>
      </c>
    </row>
    <row r="18" spans="2:16">
      <c r="B18" s="40"/>
      <c r="C18" s="1">
        <v>16</v>
      </c>
      <c r="D18" s="1" t="str">
        <f t="shared" si="0"/>
        <v>0010</v>
      </c>
      <c r="E18" s="27" t="s">
        <v>253</v>
      </c>
      <c r="H18" t="str">
        <f t="shared" si="1"/>
        <v>#define  VAR_BAT_ENERGY_WH  16</v>
      </c>
      <c r="I18" t="str">
        <f t="shared" si="2"/>
        <v>public const byte VAR_BAT_ENERGY_WH = 16;</v>
      </c>
      <c r="L18" t="str">
        <f t="shared" si="4"/>
        <v>UpdateScanList(VAR_BAT_ENERGY_WH, 5000);</v>
      </c>
      <c r="O18" t="str">
        <f t="shared" si="3"/>
        <v>cJSON_AddItemToObject(Uha, "VAR_BAT_ENERGY_WH", cJSON_CreateNumber(mVars[VAR_BAT_ENERGY_WH]));</v>
      </c>
      <c r="P18" t="str">
        <f t="shared" si="5"/>
        <v>cJSON_AddItemToObject(Uha, "VAR_BAT_ENERGY_WH", cJSON_CreateNumber(mVars[16]));</v>
      </c>
    </row>
    <row r="19" spans="2:16">
      <c r="B19" s="40"/>
      <c r="C19" s="1">
        <v>17</v>
      </c>
      <c r="D19" s="1" t="str">
        <f t="shared" si="0"/>
        <v>0011</v>
      </c>
      <c r="E19" s="27" t="s">
        <v>254</v>
      </c>
      <c r="H19" t="str">
        <f t="shared" si="1"/>
        <v>#define  VAR_LOAD_W  17</v>
      </c>
      <c r="I19" t="str">
        <f t="shared" si="2"/>
        <v>public const byte VAR_LOAD_W = 17;</v>
      </c>
      <c r="L19" t="str">
        <f t="shared" si="4"/>
        <v>UpdateScanList(VAR_LOAD_W, 5000);</v>
      </c>
      <c r="O19" t="str">
        <f t="shared" si="3"/>
        <v>cJSON_AddItemToObject(Uha, "VAR_LOAD_W", cJSON_CreateNumber(mVars[VAR_LOAD_W]));</v>
      </c>
      <c r="P19" t="str">
        <f t="shared" si="5"/>
        <v>cJSON_AddItemToObject(Uha, "VAR_LOAD_W", cJSON_CreateNumber(mVars[17]));</v>
      </c>
    </row>
    <row r="20" spans="2:16">
      <c r="B20" s="40"/>
      <c r="C20" s="1">
        <v>18</v>
      </c>
      <c r="D20" s="1" t="str">
        <f t="shared" si="0"/>
        <v>0012</v>
      </c>
      <c r="E20" s="27" t="s">
        <v>409</v>
      </c>
      <c r="H20" t="str">
        <f t="shared" si="1"/>
        <v>#define  VAR_BAT_POWER_W  18</v>
      </c>
      <c r="I20" t="str">
        <f t="shared" si="2"/>
        <v>public const byte VAR_BAT_POWER_W = 18;</v>
      </c>
      <c r="L20" t="str">
        <f t="shared" si="4"/>
        <v>UpdateScanList(VAR_BAT_POWER_W, 5000);</v>
      </c>
      <c r="O20" t="str">
        <f t="shared" si="3"/>
        <v>cJSON_AddItemToObject(Uha, "VAR_BAT_POWER_W", cJSON_CreateNumber(mVars[VAR_BAT_POWER_W]));</v>
      </c>
    </row>
    <row r="21" spans="2:16">
      <c r="B21" s="40"/>
      <c r="C21" s="1">
        <v>19</v>
      </c>
      <c r="D21" s="1" t="str">
        <f t="shared" si="0"/>
        <v>0013</v>
      </c>
      <c r="H21" t="str">
        <f t="shared" si="1"/>
        <v>#define    19</v>
      </c>
      <c r="I21" t="str">
        <f t="shared" si="2"/>
        <v>public const byte  = 19;</v>
      </c>
      <c r="L21" t="str">
        <f t="shared" si="4"/>
        <v>UpdateScanList(, 5000);</v>
      </c>
      <c r="O21" t="str">
        <f t="shared" si="3"/>
        <v/>
      </c>
    </row>
    <row r="22" spans="2:16">
      <c r="B22" s="40"/>
      <c r="C22" s="1">
        <v>20</v>
      </c>
      <c r="D22" s="1" t="str">
        <f t="shared" si="0"/>
        <v>0014</v>
      </c>
      <c r="E22" t="s">
        <v>169</v>
      </c>
      <c r="H22" t="str">
        <f t="shared" si="1"/>
        <v>#define  VAR_BMS1_SOC  20</v>
      </c>
      <c r="I22" t="str">
        <f t="shared" si="2"/>
        <v>public const byte VAR_BMS1_SOC = 20;</v>
      </c>
      <c r="L22" t="str">
        <f t="shared" si="4"/>
        <v>UpdateScanList(VAR_BMS1_SOC, 5000);</v>
      </c>
      <c r="M22" t="str">
        <f t="shared" ref="M22:M36" si="6">CONCATENATE("VAR_SetVariable(",E22,", mLiveData", ", validflag);")</f>
        <v>VAR_SetVariable(VAR_BMS1_SOC, mLiveData, validflag);</v>
      </c>
      <c r="O22" t="str">
        <f t="shared" si="3"/>
        <v>cJSON_AddItemToObject(Uha, "VAR_BMS1_SOC", cJSON_CreateNumber(mVars[VAR_BMS1_SOC]));</v>
      </c>
      <c r="P22" t="str">
        <f t="shared" si="5"/>
        <v>cJSON_AddItemToObject(Uha, "VAR_BMS1_SOC", cJSON_CreateNumber(mVars[20]));</v>
      </c>
    </row>
    <row r="23" spans="2:16">
      <c r="B23" s="40"/>
      <c r="C23" s="1">
        <v>21</v>
      </c>
      <c r="D23" s="1" t="str">
        <f t="shared" si="0"/>
        <v>0015</v>
      </c>
      <c r="E23" t="s">
        <v>170</v>
      </c>
      <c r="H23" t="str">
        <f t="shared" si="1"/>
        <v>#define  VAR_BMS1_CURRENT_A10  21</v>
      </c>
      <c r="I23" t="str">
        <f t="shared" si="2"/>
        <v>public const byte VAR_BMS1_CURRENT_A10 = 21;</v>
      </c>
      <c r="L23" t="str">
        <f t="shared" si="4"/>
        <v>UpdateScanList(VAR_BMS1_CURRENT_A10, 5000);</v>
      </c>
      <c r="M23" t="str">
        <f t="shared" si="6"/>
        <v>VAR_SetVariable(VAR_BMS1_CURRENT_A10, mLiveData, validflag);</v>
      </c>
      <c r="O23" t="str">
        <f t="shared" si="3"/>
        <v>cJSON_AddItemToObject(Uha, "VAR_BMS1_CURRENT_A10", cJSON_CreateNumber(mVars[VAR_BMS1_CURRENT_A10]));</v>
      </c>
      <c r="P23" t="str">
        <f t="shared" si="5"/>
        <v>cJSON_AddItemToObject(Uha, "VAR_BMS1_CURRENT_A10", cJSON_CreateNumber(mVars[21]));</v>
      </c>
    </row>
    <row r="24" spans="2:16">
      <c r="B24" s="40"/>
      <c r="C24" s="1">
        <v>22</v>
      </c>
      <c r="D24" s="1" t="str">
        <f t="shared" si="0"/>
        <v>0016</v>
      </c>
      <c r="E24" t="s">
        <v>171</v>
      </c>
      <c r="H24" t="str">
        <f t="shared" si="1"/>
        <v>#define  VAR_BMS1_VOLTAGE_V10  22</v>
      </c>
      <c r="I24" t="str">
        <f t="shared" si="2"/>
        <v>public const byte VAR_BMS1_VOLTAGE_V10 = 22;</v>
      </c>
      <c r="L24" t="str">
        <f t="shared" si="4"/>
        <v>UpdateScanList(VAR_BMS1_VOLTAGE_V10, 5000);</v>
      </c>
      <c r="M24" t="str">
        <f t="shared" si="6"/>
        <v>VAR_SetVariable(VAR_BMS1_VOLTAGE_V10, mLiveData, validflag);</v>
      </c>
      <c r="O24" t="str">
        <f t="shared" si="3"/>
        <v>cJSON_AddItemToObject(Uha, "VAR_BMS1_VOLTAGE_V10", cJSON_CreateNumber(mVars[VAR_BMS1_VOLTAGE_V10]));</v>
      </c>
      <c r="P24" t="str">
        <f t="shared" si="5"/>
        <v>cJSON_AddItemToObject(Uha, "VAR_BMS1_VOLTAGE_V10", cJSON_CreateNumber(mVars[22]));</v>
      </c>
    </row>
    <row r="25" spans="2:16">
      <c r="B25" s="40"/>
      <c r="C25" s="1">
        <v>23</v>
      </c>
      <c r="D25" s="1" t="str">
        <f t="shared" si="0"/>
        <v>0017</v>
      </c>
      <c r="E25" t="s">
        <v>172</v>
      </c>
      <c r="H25" t="str">
        <f t="shared" si="1"/>
        <v>#define  VAR_BMS1_ENERGY_STORED_WH  23</v>
      </c>
      <c r="I25" t="str">
        <f t="shared" si="2"/>
        <v>public const byte VAR_BMS1_ENERGY_STORED_WH = 23;</v>
      </c>
      <c r="L25" t="str">
        <f t="shared" si="4"/>
        <v>UpdateScanList(VAR_BMS1_ENERGY_STORED_WH, 5000);</v>
      </c>
      <c r="M25" t="str">
        <f t="shared" si="6"/>
        <v>VAR_SetVariable(VAR_BMS1_ENERGY_STORED_WH, mLiveData, validflag);</v>
      </c>
      <c r="O25" t="str">
        <f t="shared" si="3"/>
        <v>cJSON_AddItemToObject(Uha, "VAR_BMS1_ENERGY_STORED_WH", cJSON_CreateNumber(mVars[VAR_BMS1_ENERGY_STORED_WH]));</v>
      </c>
      <c r="P25" t="str">
        <f t="shared" si="5"/>
        <v>cJSON_AddItemToObject(Uha, "VAR_BMS1_ENERGY_STORED_WH", cJSON_CreateNumber(mVars[23]));</v>
      </c>
    </row>
    <row r="26" spans="2:16">
      <c r="B26" s="40"/>
      <c r="C26" s="1">
        <v>24</v>
      </c>
      <c r="D26" s="1" t="str">
        <f t="shared" si="0"/>
        <v>0018</v>
      </c>
      <c r="E26" t="s">
        <v>173</v>
      </c>
      <c r="H26" t="str">
        <f t="shared" si="1"/>
        <v>#define  VAR_BMS1_TODAY_ENERGY_WH  24</v>
      </c>
      <c r="I26" t="str">
        <f t="shared" si="2"/>
        <v>public const byte VAR_BMS1_TODAY_ENERGY_WH = 24;</v>
      </c>
      <c r="L26" t="str">
        <f t="shared" si="4"/>
        <v>UpdateScanList(VAR_BMS1_TODAY_ENERGY_WH, 5000);</v>
      </c>
      <c r="M26" t="str">
        <f t="shared" si="6"/>
        <v>VAR_SetVariable(VAR_BMS1_TODAY_ENERGY_WH, mLiveData, validflag);</v>
      </c>
      <c r="O26" t="str">
        <f t="shared" si="3"/>
        <v>cJSON_AddItemToObject(Uha, "VAR_BMS1_TODAY_ENERGY_WH", cJSON_CreateNumber(mVars[VAR_BMS1_TODAY_ENERGY_WH]));</v>
      </c>
      <c r="P26" t="str">
        <f t="shared" si="5"/>
        <v>cJSON_AddItemToObject(Uha, "VAR_BMS1_TODAY_ENERGY_WH", cJSON_CreateNumber(mVars[24]));</v>
      </c>
    </row>
    <row r="27" spans="2:16">
      <c r="B27" s="40"/>
      <c r="C27" s="1">
        <v>25</v>
      </c>
      <c r="D27" s="1" t="str">
        <f t="shared" si="0"/>
        <v>0019</v>
      </c>
      <c r="H27" t="str">
        <f t="shared" si="1"/>
        <v>#define    25</v>
      </c>
      <c r="I27" t="str">
        <f t="shared" si="2"/>
        <v>public const byte  = 25;</v>
      </c>
      <c r="L27" t="str">
        <f t="shared" si="4"/>
        <v>UpdateScanList(, 5000);</v>
      </c>
      <c r="O27" t="str">
        <f t="shared" si="3"/>
        <v/>
      </c>
    </row>
    <row r="28" spans="2:16">
      <c r="B28" s="40"/>
      <c r="C28" s="1">
        <v>26</v>
      </c>
      <c r="D28" s="1" t="str">
        <f t="shared" si="0"/>
        <v>001A</v>
      </c>
      <c r="H28" t="str">
        <f t="shared" si="1"/>
        <v>#define    26</v>
      </c>
      <c r="I28" t="str">
        <f t="shared" si="2"/>
        <v>public const byte  = 26;</v>
      </c>
      <c r="L28" t="str">
        <f t="shared" si="4"/>
        <v>UpdateScanList(, 5000);</v>
      </c>
      <c r="O28" t="str">
        <f t="shared" si="3"/>
        <v/>
      </c>
    </row>
    <row r="29" spans="2:16">
      <c r="B29" s="40"/>
      <c r="C29" s="1">
        <v>27</v>
      </c>
      <c r="D29" s="1" t="str">
        <f t="shared" si="0"/>
        <v>001B</v>
      </c>
      <c r="H29" t="str">
        <f t="shared" si="1"/>
        <v>#define    27</v>
      </c>
      <c r="I29" t="str">
        <f t="shared" si="2"/>
        <v>public const byte  = 27;</v>
      </c>
      <c r="L29" t="str">
        <f t="shared" si="4"/>
        <v>UpdateScanList(, 5000);</v>
      </c>
      <c r="O29" t="str">
        <f t="shared" si="3"/>
        <v/>
      </c>
    </row>
    <row r="30" spans="2:16">
      <c r="B30" s="40"/>
      <c r="C30" s="1">
        <v>28</v>
      </c>
      <c r="D30" s="1" t="str">
        <f t="shared" si="0"/>
        <v>001C</v>
      </c>
      <c r="H30" t="str">
        <f t="shared" si="1"/>
        <v>#define    28</v>
      </c>
      <c r="I30" t="str">
        <f t="shared" si="2"/>
        <v>public const byte  = 28;</v>
      </c>
      <c r="L30" t="str">
        <f t="shared" si="4"/>
        <v>UpdateScanList(, 5000);</v>
      </c>
      <c r="O30" t="str">
        <f t="shared" si="3"/>
        <v/>
      </c>
    </row>
    <row r="31" spans="2:16">
      <c r="B31" s="40"/>
      <c r="C31" s="1">
        <v>29</v>
      </c>
      <c r="D31" s="1" t="str">
        <f t="shared" si="0"/>
        <v>001D</v>
      </c>
      <c r="H31" t="str">
        <f t="shared" si="1"/>
        <v>#define    29</v>
      </c>
      <c r="I31" t="str">
        <f t="shared" si="2"/>
        <v>public const byte  = 29;</v>
      </c>
      <c r="L31" t="str">
        <f t="shared" si="4"/>
        <v>UpdateScanList(, 5000);</v>
      </c>
      <c r="O31" t="str">
        <f t="shared" si="3"/>
        <v/>
      </c>
    </row>
    <row r="32" spans="2:16">
      <c r="B32" s="40"/>
      <c r="C32" s="1">
        <v>30</v>
      </c>
      <c r="D32" s="1" t="str">
        <f t="shared" si="0"/>
        <v>001E</v>
      </c>
      <c r="E32" t="s">
        <v>174</v>
      </c>
      <c r="H32" t="str">
        <f t="shared" si="1"/>
        <v>#define  VAR_BMS2_SOC  30</v>
      </c>
      <c r="I32" t="str">
        <f t="shared" si="2"/>
        <v>public const byte VAR_BMS2_SOC = 30;</v>
      </c>
      <c r="L32" t="str">
        <f t="shared" si="4"/>
        <v>UpdateScanList(VAR_BMS2_SOC, 5000);</v>
      </c>
      <c r="M32" t="str">
        <f t="shared" si="6"/>
        <v>VAR_SetVariable(VAR_BMS2_SOC, mLiveData, validflag);</v>
      </c>
      <c r="O32" t="str">
        <f t="shared" si="3"/>
        <v>cJSON_AddItemToObject(Uha, "VAR_BMS2_SOC", cJSON_CreateNumber(mVars[VAR_BMS2_SOC]));</v>
      </c>
      <c r="P32" t="str">
        <f t="shared" si="5"/>
        <v>cJSON_AddItemToObject(Uha, "VAR_BMS2_SOC", cJSON_CreateNumber(mVars[30]));</v>
      </c>
    </row>
    <row r="33" spans="2:16">
      <c r="B33" s="40"/>
      <c r="C33" s="1">
        <v>31</v>
      </c>
      <c r="D33" s="1" t="str">
        <f t="shared" si="0"/>
        <v>001F</v>
      </c>
      <c r="E33" t="s">
        <v>175</v>
      </c>
      <c r="H33" t="str">
        <f t="shared" si="1"/>
        <v>#define  VAR_BMS2_CURRENT_A10  31</v>
      </c>
      <c r="I33" t="str">
        <f t="shared" si="2"/>
        <v>public const byte VAR_BMS2_CURRENT_A10 = 31;</v>
      </c>
      <c r="L33" t="str">
        <f t="shared" si="4"/>
        <v>UpdateScanList(VAR_BMS2_CURRENT_A10, 5000);</v>
      </c>
      <c r="M33" t="str">
        <f t="shared" si="6"/>
        <v>VAR_SetVariable(VAR_BMS2_CURRENT_A10, mLiveData, validflag);</v>
      </c>
      <c r="O33" t="str">
        <f t="shared" si="3"/>
        <v>cJSON_AddItemToObject(Uha, "VAR_BMS2_CURRENT_A10", cJSON_CreateNumber(mVars[VAR_BMS2_CURRENT_A10]));</v>
      </c>
      <c r="P33" t="str">
        <f t="shared" si="5"/>
        <v>cJSON_AddItemToObject(Uha, "VAR_BMS2_CURRENT_A10", cJSON_CreateNumber(mVars[31]));</v>
      </c>
    </row>
    <row r="34" spans="2:16">
      <c r="B34" s="40"/>
      <c r="C34" s="1">
        <v>32</v>
      </c>
      <c r="D34" s="1" t="str">
        <f t="shared" si="0"/>
        <v>0020</v>
      </c>
      <c r="E34" t="s">
        <v>176</v>
      </c>
      <c r="H34" t="str">
        <f t="shared" si="1"/>
        <v>#define  VAR_BMS2_VOLTAGE_V10  32</v>
      </c>
      <c r="I34" t="str">
        <f t="shared" si="2"/>
        <v>public const byte VAR_BMS2_VOLTAGE_V10 = 32;</v>
      </c>
      <c r="L34" t="str">
        <f t="shared" si="4"/>
        <v>UpdateScanList(VAR_BMS2_VOLTAGE_V10, 5000);</v>
      </c>
      <c r="M34" t="str">
        <f t="shared" si="6"/>
        <v>VAR_SetVariable(VAR_BMS2_VOLTAGE_V10, mLiveData, validflag);</v>
      </c>
      <c r="O34" t="str">
        <f t="shared" si="3"/>
        <v>cJSON_AddItemToObject(Uha, "VAR_BMS2_VOLTAGE_V10", cJSON_CreateNumber(mVars[VAR_BMS2_VOLTAGE_V10]));</v>
      </c>
      <c r="P34" t="str">
        <f t="shared" si="5"/>
        <v>cJSON_AddItemToObject(Uha, "VAR_BMS2_VOLTAGE_V10", cJSON_CreateNumber(mVars[32]));</v>
      </c>
    </row>
    <row r="35" spans="2:16">
      <c r="B35" s="40"/>
      <c r="C35" s="1">
        <v>33</v>
      </c>
      <c r="D35" s="1" t="str">
        <f t="shared" si="0"/>
        <v>0021</v>
      </c>
      <c r="E35" t="s">
        <v>177</v>
      </c>
      <c r="H35" t="str">
        <f t="shared" si="1"/>
        <v>#define  VAR_BMS2_ENERGY_STORED_WH  33</v>
      </c>
      <c r="I35" t="str">
        <f t="shared" si="2"/>
        <v>public const byte VAR_BMS2_ENERGY_STORED_WH = 33;</v>
      </c>
      <c r="L35" t="str">
        <f t="shared" si="4"/>
        <v>UpdateScanList(VAR_BMS2_ENERGY_STORED_WH, 5000);</v>
      </c>
      <c r="M35" t="str">
        <f t="shared" si="6"/>
        <v>VAR_SetVariable(VAR_BMS2_ENERGY_STORED_WH, mLiveData, validflag);</v>
      </c>
      <c r="O35" t="str">
        <f t="shared" si="3"/>
        <v>cJSON_AddItemToObject(Uha, "VAR_BMS2_ENERGY_STORED_WH", cJSON_CreateNumber(mVars[VAR_BMS2_ENERGY_STORED_WH]));</v>
      </c>
      <c r="P35" t="str">
        <f t="shared" si="5"/>
        <v>cJSON_AddItemToObject(Uha, "VAR_BMS2_ENERGY_STORED_WH", cJSON_CreateNumber(mVars[33]));</v>
      </c>
    </row>
    <row r="36" spans="2:16">
      <c r="B36" s="40"/>
      <c r="C36" s="1">
        <v>34</v>
      </c>
      <c r="D36" s="1" t="str">
        <f t="shared" si="0"/>
        <v>0022</v>
      </c>
      <c r="E36" t="s">
        <v>178</v>
      </c>
      <c r="H36" t="str">
        <f t="shared" si="1"/>
        <v>#define  VAR_BMS2_TODAY_ENERGY_WH  34</v>
      </c>
      <c r="I36" t="str">
        <f t="shared" si="2"/>
        <v>public const byte VAR_BMS2_TODAY_ENERGY_WH = 34;</v>
      </c>
      <c r="L36" t="str">
        <f t="shared" si="4"/>
        <v>UpdateScanList(VAR_BMS2_TODAY_ENERGY_WH, 5000);</v>
      </c>
      <c r="M36" t="str">
        <f t="shared" si="6"/>
        <v>VAR_SetVariable(VAR_BMS2_TODAY_ENERGY_WH, mLiveData, validflag);</v>
      </c>
      <c r="O36" t="str">
        <f t="shared" si="3"/>
        <v>cJSON_AddItemToObject(Uha, "VAR_BMS2_TODAY_ENERGY_WH", cJSON_CreateNumber(mVars[VAR_BMS2_TODAY_ENERGY_WH]));</v>
      </c>
      <c r="P36" t="str">
        <f t="shared" si="5"/>
        <v>cJSON_AddItemToObject(Uha, "VAR_BMS2_TODAY_ENERGY_WH", cJSON_CreateNumber(mVars[34]));</v>
      </c>
    </row>
    <row r="37" spans="2:16">
      <c r="B37" s="40"/>
      <c r="C37" s="1">
        <v>35</v>
      </c>
      <c r="D37" s="1" t="str">
        <f t="shared" si="0"/>
        <v>0023</v>
      </c>
      <c r="H37" t="str">
        <f t="shared" si="1"/>
        <v>#define    35</v>
      </c>
      <c r="I37" t="str">
        <f t="shared" si="2"/>
        <v>public const byte  = 35;</v>
      </c>
      <c r="L37" t="str">
        <f t="shared" si="4"/>
        <v>UpdateScanList(, 5000);</v>
      </c>
      <c r="O37" t="str">
        <f t="shared" si="3"/>
        <v/>
      </c>
    </row>
    <row r="38" spans="2:16">
      <c r="B38" s="40"/>
      <c r="C38" s="1">
        <v>36</v>
      </c>
      <c r="D38" s="1" t="str">
        <f t="shared" si="0"/>
        <v>0024</v>
      </c>
      <c r="H38" t="str">
        <f t="shared" si="1"/>
        <v>#define    36</v>
      </c>
      <c r="I38" t="str">
        <f t="shared" si="2"/>
        <v>public const byte  = 36;</v>
      </c>
      <c r="L38" t="str">
        <f t="shared" si="4"/>
        <v>UpdateScanList(, 5000);</v>
      </c>
      <c r="O38" t="str">
        <f t="shared" si="3"/>
        <v/>
      </c>
    </row>
    <row r="39" spans="2:16">
      <c r="B39" s="40"/>
      <c r="C39" s="1">
        <v>37</v>
      </c>
      <c r="D39" s="1" t="str">
        <f t="shared" si="0"/>
        <v>0025</v>
      </c>
      <c r="H39" t="str">
        <f t="shared" si="1"/>
        <v>#define    37</v>
      </c>
      <c r="I39" t="str">
        <f t="shared" si="2"/>
        <v>public const byte  = 37;</v>
      </c>
      <c r="L39" t="str">
        <f t="shared" si="4"/>
        <v>UpdateScanList(, 5000);</v>
      </c>
      <c r="O39" t="str">
        <f t="shared" si="3"/>
        <v/>
      </c>
    </row>
    <row r="40" spans="2:16">
      <c r="B40" s="40"/>
      <c r="C40" s="1">
        <v>38</v>
      </c>
      <c r="D40" s="1" t="str">
        <f t="shared" si="0"/>
        <v>0026</v>
      </c>
      <c r="H40" t="str">
        <f t="shared" si="1"/>
        <v>#define    38</v>
      </c>
      <c r="I40" t="str">
        <f t="shared" si="2"/>
        <v>public const byte  = 38;</v>
      </c>
      <c r="L40" t="str">
        <f t="shared" si="4"/>
        <v>UpdateScanList(, 5000);</v>
      </c>
      <c r="O40" t="str">
        <f t="shared" si="3"/>
        <v/>
      </c>
    </row>
    <row r="41" spans="2:16">
      <c r="B41" s="40"/>
      <c r="C41" s="1">
        <v>39</v>
      </c>
      <c r="D41" s="1" t="str">
        <f t="shared" si="0"/>
        <v>0027</v>
      </c>
      <c r="H41" t="str">
        <f t="shared" si="1"/>
        <v>#define    39</v>
      </c>
      <c r="I41" t="str">
        <f t="shared" si="2"/>
        <v>public const byte  = 39;</v>
      </c>
      <c r="L41" t="str">
        <f t="shared" si="4"/>
        <v>UpdateScanList(, 5000);</v>
      </c>
      <c r="O41" t="str">
        <f t="shared" si="3"/>
        <v/>
      </c>
    </row>
    <row r="42" spans="2:16">
      <c r="B42" s="40"/>
      <c r="C42" s="1">
        <v>40</v>
      </c>
      <c r="D42" s="1" t="str">
        <f t="shared" si="0"/>
        <v>0028</v>
      </c>
      <c r="E42" t="s">
        <v>179</v>
      </c>
      <c r="H42" t="str">
        <f t="shared" si="1"/>
        <v>#define  VAR_MPPT_BAT_CURRENT_A10  40</v>
      </c>
      <c r="I42" t="str">
        <f t="shared" si="2"/>
        <v>public const byte VAR_MPPT_BAT_CURRENT_A10 = 40;</v>
      </c>
      <c r="L42" t="str">
        <f t="shared" si="4"/>
        <v>UpdateScanList(VAR_MPPT_BAT_CURRENT_A10, 5000);</v>
      </c>
      <c r="O42" t="str">
        <f t="shared" si="3"/>
        <v>cJSON_AddItemToObject(Uha, "VAR_MPPT_BAT_CURRENT_A10", cJSON_CreateNumber(mVars[VAR_MPPT_BAT_CURRENT_A10]));</v>
      </c>
      <c r="P42" t="str">
        <f t="shared" si="5"/>
        <v>cJSON_AddItemToObject(Uha, "VAR_MPPT_BAT_CURRENT_A10", cJSON_CreateNumber(mVars[40]));</v>
      </c>
    </row>
    <row r="43" spans="2:16">
      <c r="B43" s="40"/>
      <c r="C43" s="1">
        <v>41</v>
      </c>
      <c r="D43" s="1" t="str">
        <f t="shared" si="0"/>
        <v>0029</v>
      </c>
      <c r="E43" t="s">
        <v>180</v>
      </c>
      <c r="H43" t="str">
        <f t="shared" si="1"/>
        <v>#define  VAR_MPPT_BAT_VOLTAGE_V100  41</v>
      </c>
      <c r="I43" t="str">
        <f t="shared" si="2"/>
        <v>public const byte VAR_MPPT_BAT_VOLTAGE_V100 = 41;</v>
      </c>
      <c r="L43" t="str">
        <f t="shared" si="4"/>
        <v>UpdateScanList(VAR_MPPT_BAT_VOLTAGE_V100, 5000);</v>
      </c>
      <c r="O43" t="str">
        <f t="shared" si="3"/>
        <v>cJSON_AddItemToObject(Uha, "VAR_MPPT_BAT_VOLTAGE_V100", cJSON_CreateNumber(mVars[VAR_MPPT_BAT_VOLTAGE_V100]));</v>
      </c>
      <c r="P43" t="str">
        <f t="shared" si="5"/>
        <v>cJSON_AddItemToObject(Uha, "VAR_MPPT_BAT_VOLTAGE_V100", cJSON_CreateNumber(mVars[41]));</v>
      </c>
    </row>
    <row r="44" spans="2:16">
      <c r="B44" s="40"/>
      <c r="C44" s="1">
        <v>42</v>
      </c>
      <c r="D44" s="1" t="str">
        <f t="shared" si="0"/>
        <v>002A</v>
      </c>
      <c r="E44" t="s">
        <v>181</v>
      </c>
      <c r="H44" t="str">
        <f t="shared" si="1"/>
        <v>#define  VAR_MPPT_YIELD_TODAY_10WH  42</v>
      </c>
      <c r="I44" t="str">
        <f t="shared" si="2"/>
        <v>public const byte VAR_MPPT_YIELD_TODAY_10WH = 42;</v>
      </c>
      <c r="L44" t="str">
        <f t="shared" si="4"/>
        <v>UpdateScanList(VAR_MPPT_YIELD_TODAY_10WH, 5000);</v>
      </c>
      <c r="O44" t="str">
        <f t="shared" si="3"/>
        <v>cJSON_AddItemToObject(Uha, "VAR_MPPT_YIELD_TODAY_10WH", cJSON_CreateNumber(mVars[VAR_MPPT_YIELD_TODAY_10WH]));</v>
      </c>
      <c r="P44" t="str">
        <f t="shared" si="5"/>
        <v>cJSON_AddItemToObject(Uha, "VAR_MPPT_YIELD_TODAY_10WH", cJSON_CreateNumber(mVars[42]));</v>
      </c>
    </row>
    <row r="45" spans="2:16">
      <c r="B45" s="40"/>
      <c r="C45" s="1">
        <v>43</v>
      </c>
      <c r="D45" s="1" t="str">
        <f t="shared" si="0"/>
        <v>002B</v>
      </c>
      <c r="E45" t="s">
        <v>182</v>
      </c>
      <c r="H45" t="str">
        <f t="shared" si="1"/>
        <v>#define  VAR_MPPT_MAX_TODAY_W  43</v>
      </c>
      <c r="I45" t="str">
        <f t="shared" si="2"/>
        <v>public const byte VAR_MPPT_MAX_TODAY_W = 43;</v>
      </c>
      <c r="L45" t="str">
        <f t="shared" si="4"/>
        <v>UpdateScanList(VAR_MPPT_MAX_TODAY_W, 5000);</v>
      </c>
      <c r="O45" t="str">
        <f t="shared" si="3"/>
        <v>cJSON_AddItemToObject(Uha, "VAR_MPPT_MAX_TODAY_W", cJSON_CreateNumber(mVars[VAR_MPPT_MAX_TODAY_W]));</v>
      </c>
      <c r="P45" t="str">
        <f t="shared" si="5"/>
        <v>cJSON_AddItemToObject(Uha, "VAR_MPPT_MAX_TODAY_W", cJSON_CreateNumber(mVars[43]));</v>
      </c>
    </row>
    <row r="46" spans="2:16">
      <c r="B46" s="40"/>
      <c r="C46" s="1">
        <v>44</v>
      </c>
      <c r="D46" s="1" t="str">
        <f t="shared" si="0"/>
        <v>002C</v>
      </c>
      <c r="E46" t="s">
        <v>183</v>
      </c>
      <c r="H46" t="str">
        <f t="shared" si="1"/>
        <v>#define  VAR_MPPT_SOLAR_POWER_W  44</v>
      </c>
      <c r="I46" t="str">
        <f t="shared" si="2"/>
        <v>public const byte VAR_MPPT_SOLAR_POWER_W = 44;</v>
      </c>
      <c r="L46" t="str">
        <f t="shared" si="4"/>
        <v>UpdateScanList(VAR_MPPT_SOLAR_POWER_W, 5000);</v>
      </c>
      <c r="O46" t="str">
        <f t="shared" si="3"/>
        <v>cJSON_AddItemToObject(Uha, "VAR_MPPT_SOLAR_POWER_W", cJSON_CreateNumber(mVars[VAR_MPPT_SOLAR_POWER_W]));</v>
      </c>
      <c r="P46" t="str">
        <f t="shared" si="5"/>
        <v>cJSON_AddItemToObject(Uha, "VAR_MPPT_SOLAR_POWER_W", cJSON_CreateNumber(mVars[44]));</v>
      </c>
    </row>
    <row r="47" spans="2:16">
      <c r="B47" s="40"/>
      <c r="C47" s="1">
        <v>45</v>
      </c>
      <c r="D47" s="1" t="str">
        <f t="shared" si="0"/>
        <v>002D</v>
      </c>
      <c r="E47" t="s">
        <v>184</v>
      </c>
      <c r="H47" t="str">
        <f t="shared" si="1"/>
        <v>#define  VAR_MPPT_SOLAR_VOLTAGE_V100  45</v>
      </c>
      <c r="I47" t="str">
        <f t="shared" si="2"/>
        <v>public const byte VAR_MPPT_SOLAR_VOLTAGE_V100 = 45;</v>
      </c>
      <c r="L47" t="str">
        <f t="shared" si="4"/>
        <v>UpdateScanList(VAR_MPPT_SOLAR_VOLTAGE_V100, 5000);</v>
      </c>
      <c r="O47" t="str">
        <f t="shared" si="3"/>
        <v>cJSON_AddItemToObject(Uha, "VAR_MPPT_SOLAR_VOLTAGE_V100", cJSON_CreateNumber(mVars[VAR_MPPT_SOLAR_VOLTAGE_V100]));</v>
      </c>
      <c r="P47" t="str">
        <f t="shared" si="5"/>
        <v>cJSON_AddItemToObject(Uha, "VAR_MPPT_SOLAR_VOLTAGE_V100", cJSON_CreateNumber(mVars[45]));</v>
      </c>
    </row>
    <row r="48" spans="2:16">
      <c r="B48" s="40"/>
      <c r="C48" s="1">
        <v>46</v>
      </c>
      <c r="D48" s="1" t="str">
        <f t="shared" si="0"/>
        <v>002E</v>
      </c>
      <c r="E48" t="s">
        <v>185</v>
      </c>
      <c r="H48" t="str">
        <f t="shared" si="1"/>
        <v>#define  VAR_MPPT_SOLAR_CURRENT_A10  46</v>
      </c>
      <c r="I48" t="str">
        <f t="shared" si="2"/>
        <v>public const byte VAR_MPPT_SOLAR_CURRENT_A10 = 46;</v>
      </c>
      <c r="L48" t="str">
        <f t="shared" si="4"/>
        <v>UpdateScanList(VAR_MPPT_SOLAR_CURRENT_A10, 5000);</v>
      </c>
      <c r="O48" t="str">
        <f t="shared" si="3"/>
        <v>cJSON_AddItemToObject(Uha, "VAR_MPPT_SOLAR_CURRENT_A10", cJSON_CreateNumber(mVars[VAR_MPPT_SOLAR_CURRENT_A10]));</v>
      </c>
      <c r="P48" t="str">
        <f t="shared" si="5"/>
        <v>cJSON_AddItemToObject(Uha, "VAR_MPPT_SOLAR_CURRENT_A10", cJSON_CreateNumber(mVars[46]));</v>
      </c>
    </row>
    <row r="49" spans="2:16">
      <c r="B49" s="40"/>
      <c r="C49" s="1">
        <v>47</v>
      </c>
      <c r="D49" s="1" t="str">
        <f t="shared" si="0"/>
        <v>002F</v>
      </c>
      <c r="E49" t="s">
        <v>186</v>
      </c>
      <c r="H49" t="str">
        <f t="shared" si="1"/>
        <v>#define  VAR_MPPT_SOLAR_MAX_VOLTAGE_V100  47</v>
      </c>
      <c r="I49" t="str">
        <f t="shared" si="2"/>
        <v>public const byte VAR_MPPT_SOLAR_MAX_VOLTAGE_V100 = 47;</v>
      </c>
      <c r="L49" t="str">
        <f t="shared" si="4"/>
        <v>UpdateScanList(VAR_MPPT_SOLAR_MAX_VOLTAGE_V100, 5000);</v>
      </c>
      <c r="O49" t="str">
        <f t="shared" si="3"/>
        <v>cJSON_AddItemToObject(Uha, "VAR_MPPT_SOLAR_MAX_VOLTAGE_V100", cJSON_CreateNumber(mVars[VAR_MPPT_SOLAR_MAX_VOLTAGE_V100]));</v>
      </c>
      <c r="P49" t="str">
        <f t="shared" si="5"/>
        <v>cJSON_AddItemToObject(Uha, "VAR_MPPT_SOLAR_MAX_VOLTAGE_V100", cJSON_CreateNumber(mVars[47]));</v>
      </c>
    </row>
    <row r="50" spans="2:16">
      <c r="B50" s="40"/>
      <c r="C50" s="1">
        <v>48</v>
      </c>
      <c r="D50" s="1" t="str">
        <f t="shared" si="0"/>
        <v>0030</v>
      </c>
      <c r="E50" t="s">
        <v>251</v>
      </c>
      <c r="H50" t="str">
        <f t="shared" si="1"/>
        <v>#define  VAR_MPPT_MAX_BAT_CURRENT_A10  48</v>
      </c>
      <c r="I50" t="str">
        <f t="shared" si="2"/>
        <v>public const byte VAR_MPPT_MAX_BAT_CURRENT_A10 = 48;</v>
      </c>
      <c r="L50" t="str">
        <f t="shared" si="4"/>
        <v>UpdateScanList(VAR_MPPT_MAX_BAT_CURRENT_A10, 5000);</v>
      </c>
      <c r="O50" t="str">
        <f t="shared" si="3"/>
        <v>cJSON_AddItemToObject(Uha, "VAR_MPPT_MAX_BAT_CURRENT_A10", cJSON_CreateNumber(mVars[VAR_MPPT_MAX_BAT_CURRENT_A10]));</v>
      </c>
      <c r="P50" t="str">
        <f t="shared" si="5"/>
        <v>cJSON_AddItemToObject(Uha, "VAR_MPPT_MAX_BAT_CURRENT_A10", cJSON_CreateNumber(mVars[48]));</v>
      </c>
    </row>
    <row r="51" spans="2:16">
      <c r="B51" s="40"/>
      <c r="C51" s="1">
        <v>49</v>
      </c>
      <c r="D51" s="1" t="str">
        <f t="shared" si="0"/>
        <v>0031</v>
      </c>
      <c r="E51" t="s">
        <v>476</v>
      </c>
      <c r="H51" t="str">
        <f t="shared" si="1"/>
        <v>#define  VAR_MPPT_TEMP_C  49</v>
      </c>
      <c r="I51" t="str">
        <f t="shared" si="2"/>
        <v>public const byte VAR_MPPT_TEMP_C = 49;</v>
      </c>
      <c r="L51" t="str">
        <f t="shared" si="4"/>
        <v>UpdateScanList(VAR_MPPT_TEMP_C, 5000);</v>
      </c>
      <c r="O51" t="str">
        <f t="shared" si="3"/>
        <v>cJSON_AddItemToObject(Uha, "VAR_MPPT_TEMP_C", cJSON_CreateNumber(mVars[VAR_MPPT_TEMP_C]));</v>
      </c>
    </row>
    <row r="52" spans="2:16">
      <c r="B52" s="40"/>
      <c r="C52" s="1">
        <v>50</v>
      </c>
      <c r="D52" s="1" t="str">
        <f t="shared" si="0"/>
        <v>0032</v>
      </c>
      <c r="E52" t="s">
        <v>353</v>
      </c>
      <c r="H52" t="str">
        <f t="shared" si="1"/>
        <v>#define  VAR_SHUNT_PCK1_CURRENT_A100  50</v>
      </c>
      <c r="I52" t="str">
        <f t="shared" si="2"/>
        <v>public const byte VAR_SHUNT_PCK1_CURRENT_A100 = 50;</v>
      </c>
      <c r="L52" t="str">
        <f t="shared" si="4"/>
        <v>UpdateScanList(VAR_SHUNT_PCK1_CURRENT_A100, 5000);</v>
      </c>
      <c r="O52" t="str">
        <f t="shared" si="3"/>
        <v>cJSON_AddItemToObject(Uha, "VAR_SHUNT_PCK1_CURRENT_A100", cJSON_CreateNumber(mVars[VAR_SHUNT_PCK1_CURRENT_A100]));</v>
      </c>
      <c r="P52" t="str">
        <f t="shared" si="5"/>
        <v>cJSON_AddItemToObject(Uha, "VAR_SHUNT_PCK1_CURRENT_A100", cJSON_CreateNumber(mVars[50]));</v>
      </c>
    </row>
    <row r="53" spans="2:16">
      <c r="B53" s="40"/>
      <c r="C53" s="1">
        <v>51</v>
      </c>
      <c r="D53" s="1" t="str">
        <f t="shared" si="0"/>
        <v>0033</v>
      </c>
      <c r="E53" t="s">
        <v>354</v>
      </c>
      <c r="H53" t="str">
        <f t="shared" si="1"/>
        <v>#define  VAR_SHUNT_PCK2_CURRENT_A100  51</v>
      </c>
      <c r="I53" t="str">
        <f t="shared" si="2"/>
        <v>public const byte VAR_SHUNT_PCK2_CURRENT_A100 = 51;</v>
      </c>
      <c r="L53" t="str">
        <f t="shared" si="4"/>
        <v>UpdateScanList(VAR_SHUNT_PCK2_CURRENT_A100, 5000);</v>
      </c>
      <c r="O53" t="str">
        <f t="shared" si="3"/>
        <v>cJSON_AddItemToObject(Uha, "VAR_SHUNT_PCK2_CURRENT_A100", cJSON_CreateNumber(mVars[VAR_SHUNT_PCK2_CURRENT_A100]));</v>
      </c>
    </row>
    <row r="54" spans="2:16">
      <c r="B54" s="40"/>
      <c r="C54" s="1">
        <v>52</v>
      </c>
      <c r="D54" s="1" t="str">
        <f t="shared" si="0"/>
        <v>0034</v>
      </c>
      <c r="E54" s="39" t="s">
        <v>411</v>
      </c>
    </row>
    <row r="55" spans="2:16">
      <c r="B55" s="40"/>
      <c r="C55" s="1">
        <v>53</v>
      </c>
      <c r="D55" s="1" t="str">
        <f t="shared" si="0"/>
        <v>0035</v>
      </c>
      <c r="E55" s="39" t="s">
        <v>400</v>
      </c>
    </row>
    <row r="56" spans="2:16">
      <c r="B56" s="40"/>
      <c r="C56" s="1">
        <v>54</v>
      </c>
      <c r="D56" s="1" t="str">
        <f t="shared" si="0"/>
        <v>0036</v>
      </c>
      <c r="E56" s="39" t="s">
        <v>401</v>
      </c>
    </row>
    <row r="57" spans="2:16">
      <c r="B57" s="40"/>
      <c r="C57" s="1">
        <v>55</v>
      </c>
      <c r="D57" s="1" t="str">
        <f t="shared" si="0"/>
        <v>0037</v>
      </c>
      <c r="E57" s="39" t="s">
        <v>402</v>
      </c>
    </row>
    <row r="58" spans="2:16">
      <c r="B58" s="40"/>
      <c r="C58" s="1">
        <v>56</v>
      </c>
      <c r="D58" s="1" t="str">
        <f t="shared" si="0"/>
        <v>0038</v>
      </c>
      <c r="E58" s="39" t="s">
        <v>410</v>
      </c>
    </row>
    <row r="59" spans="2:16">
      <c r="B59" s="40"/>
      <c r="C59" s="1">
        <v>57</v>
      </c>
      <c r="D59" s="1" t="str">
        <f t="shared" si="0"/>
        <v>0039</v>
      </c>
      <c r="E59" s="39" t="s">
        <v>403</v>
      </c>
    </row>
    <row r="60" spans="2:16">
      <c r="B60" s="40"/>
      <c r="C60" s="1">
        <v>58</v>
      </c>
      <c r="D60" s="1" t="str">
        <f t="shared" si="0"/>
        <v>003A</v>
      </c>
      <c r="E60" s="39" t="s">
        <v>404</v>
      </c>
    </row>
    <row r="61" spans="2:16">
      <c r="B61" s="40"/>
      <c r="C61" s="1">
        <v>59</v>
      </c>
      <c r="D61" s="1" t="str">
        <f t="shared" si="0"/>
        <v>003B</v>
      </c>
      <c r="E61" s="39" t="s">
        <v>405</v>
      </c>
    </row>
    <row r="62" spans="2:16">
      <c r="B62" s="40"/>
      <c r="C62" s="1">
        <v>60</v>
      </c>
      <c r="D62" s="1" t="str">
        <f t="shared" si="0"/>
        <v>003C</v>
      </c>
      <c r="E62" t="s">
        <v>261</v>
      </c>
      <c r="H62" t="str">
        <f t="shared" si="1"/>
        <v>#define  VAR_CONS_AC300_WH  60</v>
      </c>
      <c r="I62" t="str">
        <f t="shared" si="2"/>
        <v>public const byte VAR_CONS_AC300_WH = 60;</v>
      </c>
      <c r="L62" t="str">
        <f t="shared" si="4"/>
        <v>UpdateScanList(VAR_CONS_AC300_WH, 5000);</v>
      </c>
      <c r="N62" t="str">
        <f>CONCATENATE("COM_AddStreamedVariable(",E62, ", 1000);")</f>
        <v>COM_AddStreamedVariable(VAR_CONS_AC300_WH, 1000);</v>
      </c>
      <c r="O62" t="str">
        <f t="shared" si="3"/>
        <v>cJSON_AddItemToObject(Uha, "VAR_CONS_AC300_WH", cJSON_CreateNumber(mVars[VAR_CONS_AC300_WH]));</v>
      </c>
      <c r="P62" t="str">
        <f t="shared" ref="P62:P79" si="7">CONCATENATE("cJSON_AddItemToObject(Uha, ","""",E62,"""",", cJSON_CreateNumber(mVars[",C62,"]));")</f>
        <v>cJSON_AddItemToObject(Uha, "VAR_CONS_AC300_WH", cJSON_CreateNumber(mVars[60]));</v>
      </c>
    </row>
    <row r="63" spans="2:16">
      <c r="B63" s="40"/>
      <c r="C63" s="1">
        <v>61</v>
      </c>
      <c r="D63" s="1" t="str">
        <f t="shared" si="0"/>
        <v>003D</v>
      </c>
      <c r="E63" t="s">
        <v>260</v>
      </c>
      <c r="H63" t="str">
        <f t="shared" si="1"/>
        <v>#define  VAR_CONS_AC3KW_WH  61</v>
      </c>
      <c r="I63" t="str">
        <f t="shared" si="2"/>
        <v>public const byte VAR_CONS_AC3KW_WH = 61;</v>
      </c>
      <c r="L63" t="str">
        <f t="shared" si="4"/>
        <v>UpdateScanList(VAR_CONS_AC3KW_WH, 5000);</v>
      </c>
      <c r="N63" t="str">
        <f t="shared" ref="N63:N126" si="8">CONCATENATE("COM_AddStreamedVariable(",E63, ", 1000);")</f>
        <v>COM_AddStreamedVariable(VAR_CONS_AC3KW_WH, 1000);</v>
      </c>
      <c r="O63" t="str">
        <f t="shared" si="3"/>
        <v>cJSON_AddItemToObject(Uha, "VAR_CONS_AC3KW_WH", cJSON_CreateNumber(mVars[VAR_CONS_AC3KW_WH]));</v>
      </c>
      <c r="P63" t="str">
        <f t="shared" si="7"/>
        <v>cJSON_AddItemToObject(Uha, "VAR_CONS_AC3KW_WH", cJSON_CreateNumber(mVars[61]));</v>
      </c>
    </row>
    <row r="64" spans="2:16">
      <c r="B64" s="40"/>
      <c r="C64" s="1">
        <v>62</v>
      </c>
      <c r="D64" s="1" t="str">
        <f t="shared" si="0"/>
        <v>003E</v>
      </c>
      <c r="E64" t="s">
        <v>259</v>
      </c>
      <c r="H64" t="str">
        <f t="shared" si="1"/>
        <v>#define  VAR_CONS_AC5KW_WH  62</v>
      </c>
      <c r="I64" t="str">
        <f t="shared" si="2"/>
        <v>public const byte VAR_CONS_AC5KW_WH = 62;</v>
      </c>
      <c r="L64" t="str">
        <f t="shared" si="4"/>
        <v>UpdateScanList(VAR_CONS_AC5KW_WH, 5000);</v>
      </c>
      <c r="N64" t="str">
        <f t="shared" si="8"/>
        <v>COM_AddStreamedVariable(VAR_CONS_AC5KW_WH, 1000);</v>
      </c>
      <c r="O64" t="str">
        <f t="shared" si="3"/>
        <v>cJSON_AddItemToObject(Uha, "VAR_CONS_AC5KW_WH", cJSON_CreateNumber(mVars[VAR_CONS_AC5KW_WH]));</v>
      </c>
      <c r="P64" t="str">
        <f t="shared" si="7"/>
        <v>cJSON_AddItemToObject(Uha, "VAR_CONS_AC5KW_WH", cJSON_CreateNumber(mVars[62]));</v>
      </c>
    </row>
    <row r="65" spans="2:16">
      <c r="B65" s="40"/>
      <c r="C65" s="1">
        <v>63</v>
      </c>
      <c r="D65" s="1" t="str">
        <f t="shared" si="0"/>
        <v>003F</v>
      </c>
      <c r="E65" t="s">
        <v>258</v>
      </c>
      <c r="H65" t="str">
        <f t="shared" si="1"/>
        <v>#define  VAR_CONS_FRIDGE_WH  63</v>
      </c>
      <c r="I65" t="str">
        <f t="shared" si="2"/>
        <v>public const byte VAR_CONS_FRIDGE_WH = 63;</v>
      </c>
      <c r="L65" t="str">
        <f t="shared" si="4"/>
        <v>UpdateScanList(VAR_CONS_FRIDGE_WH, 5000);</v>
      </c>
      <c r="N65" t="str">
        <f t="shared" si="8"/>
        <v>COM_AddStreamedVariable(VAR_CONS_FRIDGE_WH, 1000);</v>
      </c>
      <c r="O65" t="str">
        <f t="shared" si="3"/>
        <v>cJSON_AddItemToObject(Uha, "VAR_CONS_FRIDGE_WH", cJSON_CreateNumber(mVars[VAR_CONS_FRIDGE_WH]));</v>
      </c>
      <c r="P65" t="str">
        <f t="shared" si="7"/>
        <v>cJSON_AddItemToObject(Uha, "VAR_CONS_FRIDGE_WH", cJSON_CreateNumber(mVars[63]));</v>
      </c>
    </row>
    <row r="66" spans="2:16">
      <c r="B66" s="40"/>
      <c r="C66" s="1">
        <v>64</v>
      </c>
      <c r="D66" s="1" t="str">
        <f t="shared" ref="D66:D129" si="9">DEC2HEX(C66,4)</f>
        <v>0040</v>
      </c>
      <c r="E66" t="s">
        <v>262</v>
      </c>
      <c r="H66" t="str">
        <f t="shared" ref="H66:H101" si="10">CONCATENATE("#define  ",E66,"  ",C66)</f>
        <v>#define  VAR_CONS_KITCHEN_WH  64</v>
      </c>
      <c r="I66" t="str">
        <f t="shared" ref="I66:I101" si="11">CONCATENATE("public const byte ",E66," = ",C66,";")</f>
        <v>public const byte VAR_CONS_KITCHEN_WH = 64;</v>
      </c>
      <c r="L66" t="str">
        <f t="shared" si="4"/>
        <v>UpdateScanList(VAR_CONS_KITCHEN_WH, 5000);</v>
      </c>
      <c r="N66" t="str">
        <f t="shared" si="8"/>
        <v>COM_AddStreamedVariable(VAR_CONS_KITCHEN_WH, 1000);</v>
      </c>
      <c r="O66" t="str">
        <f t="shared" si="3"/>
        <v>cJSON_AddItemToObject(Uha, "VAR_CONS_KITCHEN_WH", cJSON_CreateNumber(mVars[VAR_CONS_KITCHEN_WH]));</v>
      </c>
      <c r="P66" t="str">
        <f t="shared" si="7"/>
        <v>cJSON_AddItemToObject(Uha, "VAR_CONS_KITCHEN_WH", cJSON_CreateNumber(mVars[64]));</v>
      </c>
    </row>
    <row r="67" spans="2:16">
      <c r="B67" s="40"/>
      <c r="C67" s="1">
        <v>65</v>
      </c>
      <c r="D67" s="1" t="str">
        <f t="shared" si="9"/>
        <v>0041</v>
      </c>
      <c r="E67" t="s">
        <v>263</v>
      </c>
      <c r="H67" t="str">
        <f t="shared" si="10"/>
        <v>#define  VAR_CONS_WASCHMACHINE_WH  65</v>
      </c>
      <c r="I67" t="str">
        <f t="shared" si="11"/>
        <v>public const byte VAR_CONS_WASCHMACHINE_WH = 65;</v>
      </c>
      <c r="L67" t="str">
        <f t="shared" si="4"/>
        <v>UpdateScanList(VAR_CONS_WASCHMACHINE_WH, 5000);</v>
      </c>
      <c r="N67" t="str">
        <f t="shared" si="8"/>
        <v>COM_AddStreamedVariable(VAR_CONS_WASCHMACHINE_WH, 1000);</v>
      </c>
      <c r="O67" t="str">
        <f t="shared" si="3"/>
        <v>cJSON_AddItemToObject(Uha, "VAR_CONS_WASCHMACHINE_WH", cJSON_CreateNumber(mVars[VAR_CONS_WASCHMACHINE_WH]));</v>
      </c>
      <c r="P67" t="str">
        <f t="shared" si="7"/>
        <v>cJSON_AddItemToObject(Uha, "VAR_CONS_WASCHMACHINE_WH", cJSON_CreateNumber(mVars[65]));</v>
      </c>
    </row>
    <row r="68" spans="2:16">
      <c r="B68" s="40"/>
      <c r="C68" s="1">
        <v>66</v>
      </c>
      <c r="D68" s="1" t="str">
        <f t="shared" si="9"/>
        <v>0042</v>
      </c>
      <c r="E68" t="s">
        <v>264</v>
      </c>
      <c r="H68" t="str">
        <f t="shared" si="10"/>
        <v>#define  VAR_CONS_OTHER_WH  66</v>
      </c>
      <c r="I68" t="str">
        <f t="shared" si="11"/>
        <v>public const byte VAR_CONS_OTHER_WH = 66;</v>
      </c>
      <c r="L68" t="str">
        <f t="shared" si="4"/>
        <v>UpdateScanList(VAR_CONS_OTHER_WH, 5000);</v>
      </c>
      <c r="N68" t="str">
        <f t="shared" si="8"/>
        <v>COM_AddStreamedVariable(VAR_CONS_OTHER_WH, 1000);</v>
      </c>
      <c r="O68" t="str">
        <f t="shared" si="3"/>
        <v>cJSON_AddItemToObject(Uha, "VAR_CONS_OTHER_WH", cJSON_CreateNumber(mVars[VAR_CONS_OTHER_WH]));</v>
      </c>
      <c r="P68" t="str">
        <f t="shared" si="7"/>
        <v>cJSON_AddItemToObject(Uha, "VAR_CONS_OTHER_WH", cJSON_CreateNumber(mVars[66]));</v>
      </c>
    </row>
    <row r="69" spans="2:16">
      <c r="B69" s="40"/>
      <c r="C69" s="1">
        <v>67</v>
      </c>
      <c r="D69" s="1" t="str">
        <f t="shared" si="9"/>
        <v>0043</v>
      </c>
      <c r="E69" t="s">
        <v>265</v>
      </c>
      <c r="H69" t="str">
        <f t="shared" si="10"/>
        <v>#define  VAR_CONS_TECHM_WH  67</v>
      </c>
      <c r="I69" t="str">
        <f t="shared" si="11"/>
        <v>public const byte VAR_CONS_TECHM_WH = 67;</v>
      </c>
      <c r="L69" t="str">
        <f t="shared" si="4"/>
        <v>UpdateScanList(VAR_CONS_TECHM_WH, 5000);</v>
      </c>
      <c r="N69" t="str">
        <f t="shared" si="8"/>
        <v>COM_AddStreamedVariable(VAR_CONS_TECHM_WH, 1000);</v>
      </c>
      <c r="O69" t="str">
        <f t="shared" si="3"/>
        <v>cJSON_AddItemToObject(Uha, "VAR_CONS_TECHM_WH", cJSON_CreateNumber(mVars[VAR_CONS_TECHM_WH]));</v>
      </c>
      <c r="P69" t="str">
        <f t="shared" si="7"/>
        <v>cJSON_AddItemToObject(Uha, "VAR_CONS_TECHM_WH", cJSON_CreateNumber(mVars[67]));</v>
      </c>
    </row>
    <row r="70" spans="2:16">
      <c r="B70" s="40"/>
      <c r="C70" s="1">
        <v>68</v>
      </c>
      <c r="D70" s="1" t="str">
        <f t="shared" si="9"/>
        <v>0044</v>
      </c>
      <c r="E70" t="s">
        <v>279</v>
      </c>
      <c r="H70" t="str">
        <f t="shared" si="10"/>
        <v>#define  VAR_CONS_KITCHEN_A_WH  68</v>
      </c>
      <c r="I70" t="str">
        <f t="shared" si="11"/>
        <v>public const byte VAR_CONS_KITCHEN_A_WH = 68;</v>
      </c>
      <c r="L70" t="str">
        <f t="shared" si="4"/>
        <v>UpdateScanList(VAR_CONS_KITCHEN_A_WH, 5000);</v>
      </c>
      <c r="O70" t="str">
        <f t="shared" si="3"/>
        <v>cJSON_AddItemToObject(Uha, "VAR_CONS_KITCHEN_A_WH", cJSON_CreateNumber(mVars[VAR_CONS_KITCHEN_A_WH]));</v>
      </c>
    </row>
    <row r="71" spans="2:16">
      <c r="B71" s="40"/>
      <c r="C71" s="1">
        <v>69</v>
      </c>
      <c r="D71" s="1" t="str">
        <f t="shared" si="9"/>
        <v>0045</v>
      </c>
      <c r="E71" t="s">
        <v>280</v>
      </c>
      <c r="H71" t="str">
        <f t="shared" si="10"/>
        <v>#define  VAR_CONS_KITCHEN_B_WH  69</v>
      </c>
      <c r="I71" t="str">
        <f t="shared" si="11"/>
        <v>public const byte VAR_CONS_KITCHEN_B_WH = 69;</v>
      </c>
      <c r="L71" t="str">
        <f t="shared" si="4"/>
        <v>UpdateScanList(VAR_CONS_KITCHEN_B_WH, 5000);</v>
      </c>
      <c r="O71" t="str">
        <f t="shared" si="3"/>
        <v>cJSON_AddItemToObject(Uha, "VAR_CONS_KITCHEN_B_WH", cJSON_CreateNumber(mVars[VAR_CONS_KITCHEN_B_WH]));</v>
      </c>
    </row>
    <row r="72" spans="2:16">
      <c r="B72" s="40"/>
      <c r="C72" s="1">
        <v>70</v>
      </c>
      <c r="D72" s="1" t="str">
        <f t="shared" si="9"/>
        <v>0046</v>
      </c>
      <c r="E72" t="s">
        <v>266</v>
      </c>
      <c r="H72" t="str">
        <f t="shared" si="10"/>
        <v>#define  VAR_POW_AC300_W  70</v>
      </c>
      <c r="I72" t="str">
        <f t="shared" si="11"/>
        <v>public const byte VAR_POW_AC300_W = 70;</v>
      </c>
      <c r="L72" t="str">
        <f t="shared" si="4"/>
        <v>UpdateScanList(VAR_POW_AC300_W, 5000);</v>
      </c>
      <c r="N72" t="str">
        <f t="shared" si="8"/>
        <v>COM_AddStreamedVariable(VAR_POW_AC300_W, 1000);</v>
      </c>
      <c r="O72" t="str">
        <f t="shared" si="3"/>
        <v>cJSON_AddItemToObject(Uha, "VAR_POW_AC300_W", cJSON_CreateNumber(mVars[VAR_POW_AC300_W]));</v>
      </c>
      <c r="P72" t="str">
        <f t="shared" si="7"/>
        <v>cJSON_AddItemToObject(Uha, "VAR_POW_AC300_W", cJSON_CreateNumber(mVars[70]));</v>
      </c>
    </row>
    <row r="73" spans="2:16">
      <c r="B73" s="40"/>
      <c r="C73" s="1">
        <v>71</v>
      </c>
      <c r="D73" s="1" t="str">
        <f t="shared" si="9"/>
        <v>0047</v>
      </c>
      <c r="E73" t="s">
        <v>267</v>
      </c>
      <c r="H73" t="str">
        <f t="shared" si="10"/>
        <v>#define  VAR_POW_AC3KW_W  71</v>
      </c>
      <c r="I73" t="str">
        <f t="shared" si="11"/>
        <v>public const byte VAR_POW_AC3KW_W = 71;</v>
      </c>
      <c r="L73" t="str">
        <f t="shared" si="4"/>
        <v>UpdateScanList(VAR_POW_AC3KW_W, 5000);</v>
      </c>
      <c r="N73" t="str">
        <f t="shared" si="8"/>
        <v>COM_AddStreamedVariable(VAR_POW_AC3KW_W, 1000);</v>
      </c>
      <c r="O73" t="str">
        <f t="shared" si="3"/>
        <v>cJSON_AddItemToObject(Uha, "VAR_POW_AC3KW_W", cJSON_CreateNumber(mVars[VAR_POW_AC3KW_W]));</v>
      </c>
      <c r="P73" t="str">
        <f t="shared" si="7"/>
        <v>cJSON_AddItemToObject(Uha, "VAR_POW_AC3KW_W", cJSON_CreateNumber(mVars[71]));</v>
      </c>
    </row>
    <row r="74" spans="2:16">
      <c r="B74" s="40"/>
      <c r="C74" s="1">
        <v>72</v>
      </c>
      <c r="D74" s="1" t="str">
        <f t="shared" si="9"/>
        <v>0048</v>
      </c>
      <c r="E74" t="s">
        <v>268</v>
      </c>
      <c r="H74" t="str">
        <f t="shared" si="10"/>
        <v>#define  VAR_POW_AC5KW_W  72</v>
      </c>
      <c r="I74" t="str">
        <f t="shared" si="11"/>
        <v>public const byte VAR_POW_AC5KW_W = 72;</v>
      </c>
      <c r="L74" t="str">
        <f t="shared" si="4"/>
        <v>UpdateScanList(VAR_POW_AC5KW_W, 5000);</v>
      </c>
      <c r="N74" t="str">
        <f t="shared" si="8"/>
        <v>COM_AddStreamedVariable(VAR_POW_AC5KW_W, 1000);</v>
      </c>
      <c r="O74" t="str">
        <f t="shared" si="3"/>
        <v>cJSON_AddItemToObject(Uha, "VAR_POW_AC5KW_W", cJSON_CreateNumber(mVars[VAR_POW_AC5KW_W]));</v>
      </c>
      <c r="P74" t="str">
        <f t="shared" si="7"/>
        <v>cJSON_AddItemToObject(Uha, "VAR_POW_AC5KW_W", cJSON_CreateNumber(mVars[72]));</v>
      </c>
    </row>
    <row r="75" spans="2:16">
      <c r="B75" s="40"/>
      <c r="C75" s="1">
        <v>73</v>
      </c>
      <c r="D75" s="1" t="str">
        <f t="shared" si="9"/>
        <v>0049</v>
      </c>
      <c r="E75" t="s">
        <v>269</v>
      </c>
      <c r="H75" t="str">
        <f t="shared" si="10"/>
        <v>#define  VAR_POW_FRIDGE_W  73</v>
      </c>
      <c r="I75" t="str">
        <f t="shared" si="11"/>
        <v>public const byte VAR_POW_FRIDGE_W = 73;</v>
      </c>
      <c r="L75" t="str">
        <f t="shared" si="4"/>
        <v>UpdateScanList(VAR_POW_FRIDGE_W, 5000);</v>
      </c>
      <c r="N75" t="str">
        <f t="shared" si="8"/>
        <v>COM_AddStreamedVariable(VAR_POW_FRIDGE_W, 1000);</v>
      </c>
      <c r="O75" t="str">
        <f t="shared" ref="O75:O138" si="12">IF(ISBLANK(E75),"",CONCATENATE("cJSON_AddItemToObject(Uha, ","""",E75,"""",", cJSON_CreateNumber(mVars[",E75,"]));"))</f>
        <v>cJSON_AddItemToObject(Uha, "VAR_POW_FRIDGE_W", cJSON_CreateNumber(mVars[VAR_POW_FRIDGE_W]));</v>
      </c>
      <c r="P75" t="str">
        <f t="shared" si="7"/>
        <v>cJSON_AddItemToObject(Uha, "VAR_POW_FRIDGE_W", cJSON_CreateNumber(mVars[73]));</v>
      </c>
    </row>
    <row r="76" spans="2:16">
      <c r="B76" s="40"/>
      <c r="C76" s="1">
        <v>74</v>
      </c>
      <c r="D76" s="1" t="str">
        <f t="shared" si="9"/>
        <v>004A</v>
      </c>
      <c r="E76" t="s">
        <v>270</v>
      </c>
      <c r="H76" t="str">
        <f t="shared" si="10"/>
        <v>#define  VAR_POW_KITCHEN_W  74</v>
      </c>
      <c r="I76" t="str">
        <f t="shared" si="11"/>
        <v>public const byte VAR_POW_KITCHEN_W = 74;</v>
      </c>
      <c r="L76" t="str">
        <f t="shared" si="4"/>
        <v>UpdateScanList(VAR_POW_KITCHEN_W, 5000);</v>
      </c>
      <c r="N76" t="str">
        <f t="shared" si="8"/>
        <v>COM_AddStreamedVariable(VAR_POW_KITCHEN_W, 1000);</v>
      </c>
      <c r="O76" t="str">
        <f t="shared" si="12"/>
        <v>cJSON_AddItemToObject(Uha, "VAR_POW_KITCHEN_W", cJSON_CreateNumber(mVars[VAR_POW_KITCHEN_W]));</v>
      </c>
      <c r="P76" t="str">
        <f t="shared" si="7"/>
        <v>cJSON_AddItemToObject(Uha, "VAR_POW_KITCHEN_W", cJSON_CreateNumber(mVars[74]));</v>
      </c>
    </row>
    <row r="77" spans="2:16">
      <c r="B77" s="40"/>
      <c r="C77" s="1">
        <v>75</v>
      </c>
      <c r="D77" s="1" t="str">
        <f t="shared" si="9"/>
        <v>004B</v>
      </c>
      <c r="E77" t="s">
        <v>271</v>
      </c>
      <c r="H77" t="str">
        <f t="shared" si="10"/>
        <v>#define  VAR_POW_WASCHMACHINE_W  75</v>
      </c>
      <c r="I77" t="str">
        <f t="shared" si="11"/>
        <v>public const byte VAR_POW_WASCHMACHINE_W = 75;</v>
      </c>
      <c r="L77" t="str">
        <f t="shared" ref="L77:L140" si="13">CONCATENATE("UpdateScanList(",E77, ", 5000);")</f>
        <v>UpdateScanList(VAR_POW_WASCHMACHINE_W, 5000);</v>
      </c>
      <c r="N77" t="str">
        <f t="shared" si="8"/>
        <v>COM_AddStreamedVariable(VAR_POW_WASCHMACHINE_W, 1000);</v>
      </c>
      <c r="O77" t="str">
        <f t="shared" si="12"/>
        <v>cJSON_AddItemToObject(Uha, "VAR_POW_WASCHMACHINE_W", cJSON_CreateNumber(mVars[VAR_POW_WASCHMACHINE_W]));</v>
      </c>
      <c r="P77" t="str">
        <f t="shared" si="7"/>
        <v>cJSON_AddItemToObject(Uha, "VAR_POW_WASCHMACHINE_W", cJSON_CreateNumber(mVars[75]));</v>
      </c>
    </row>
    <row r="78" spans="2:16">
      <c r="B78" s="40"/>
      <c r="C78" s="1">
        <v>76</v>
      </c>
      <c r="D78" s="1" t="str">
        <f t="shared" si="9"/>
        <v>004C</v>
      </c>
      <c r="E78" t="s">
        <v>272</v>
      </c>
      <c r="H78" t="str">
        <f t="shared" si="10"/>
        <v>#define  VAR_POW_OTHER_W  76</v>
      </c>
      <c r="I78" t="str">
        <f t="shared" si="11"/>
        <v>public const byte VAR_POW_OTHER_W = 76;</v>
      </c>
      <c r="L78" t="str">
        <f t="shared" si="13"/>
        <v>UpdateScanList(VAR_POW_OTHER_W, 5000);</v>
      </c>
      <c r="N78" t="str">
        <f t="shared" si="8"/>
        <v>COM_AddStreamedVariable(VAR_POW_OTHER_W, 1000);</v>
      </c>
      <c r="O78" t="str">
        <f t="shared" si="12"/>
        <v>cJSON_AddItemToObject(Uha, "VAR_POW_OTHER_W", cJSON_CreateNumber(mVars[VAR_POW_OTHER_W]));</v>
      </c>
      <c r="P78" t="str">
        <f t="shared" si="7"/>
        <v>cJSON_AddItemToObject(Uha, "VAR_POW_OTHER_W", cJSON_CreateNumber(mVars[76]));</v>
      </c>
    </row>
    <row r="79" spans="2:16">
      <c r="B79" s="40"/>
      <c r="C79" s="1">
        <v>77</v>
      </c>
      <c r="D79" s="1" t="str">
        <f t="shared" si="9"/>
        <v>004D</v>
      </c>
      <c r="E79" t="s">
        <v>273</v>
      </c>
      <c r="H79" t="str">
        <f t="shared" si="10"/>
        <v>#define  VAR_POW_TECHM_W  77</v>
      </c>
      <c r="I79" t="str">
        <f t="shared" si="11"/>
        <v>public const byte VAR_POW_TECHM_W = 77;</v>
      </c>
      <c r="L79" t="str">
        <f t="shared" si="13"/>
        <v>UpdateScanList(VAR_POW_TECHM_W, 5000);</v>
      </c>
      <c r="N79" t="str">
        <f t="shared" si="8"/>
        <v>COM_AddStreamedVariable(VAR_POW_TECHM_W, 1000);</v>
      </c>
      <c r="O79" t="str">
        <f t="shared" si="12"/>
        <v>cJSON_AddItemToObject(Uha, "VAR_POW_TECHM_W", cJSON_CreateNumber(mVars[VAR_POW_TECHM_W]));</v>
      </c>
      <c r="P79" t="str">
        <f t="shared" si="7"/>
        <v>cJSON_AddItemToObject(Uha, "VAR_POW_TECHM_W", cJSON_CreateNumber(mVars[77]));</v>
      </c>
    </row>
    <row r="80" spans="2:16">
      <c r="B80" s="40"/>
      <c r="C80" s="1">
        <v>78</v>
      </c>
      <c r="D80" s="1" t="str">
        <f t="shared" si="9"/>
        <v>004E</v>
      </c>
      <c r="E80" t="s">
        <v>281</v>
      </c>
      <c r="H80" t="str">
        <f t="shared" si="10"/>
        <v>#define  VAR_POW_KITCHEN_A_W  78</v>
      </c>
      <c r="I80" t="str">
        <f t="shared" si="11"/>
        <v>public const byte VAR_POW_KITCHEN_A_W = 78;</v>
      </c>
      <c r="L80" t="str">
        <f t="shared" si="13"/>
        <v>UpdateScanList(VAR_POW_KITCHEN_A_W, 5000);</v>
      </c>
      <c r="N80" t="str">
        <f t="shared" si="8"/>
        <v>COM_AddStreamedVariable(VAR_POW_KITCHEN_A_W, 1000);</v>
      </c>
      <c r="O80" t="str">
        <f t="shared" si="12"/>
        <v>cJSON_AddItemToObject(Uha, "VAR_POW_KITCHEN_A_W", cJSON_CreateNumber(mVars[VAR_POW_KITCHEN_A_W]));</v>
      </c>
    </row>
    <row r="81" spans="2:16">
      <c r="B81" s="40"/>
      <c r="C81" s="1">
        <v>79</v>
      </c>
      <c r="D81" s="1" t="str">
        <f t="shared" si="9"/>
        <v>004F</v>
      </c>
      <c r="E81" t="s">
        <v>282</v>
      </c>
      <c r="H81" t="str">
        <f t="shared" si="10"/>
        <v>#define  VAR_POW_KITCHEN_B_W  79</v>
      </c>
      <c r="I81" t="str">
        <f t="shared" si="11"/>
        <v>public const byte VAR_POW_KITCHEN_B_W = 79;</v>
      </c>
      <c r="L81" t="str">
        <f t="shared" si="13"/>
        <v>UpdateScanList(VAR_POW_KITCHEN_B_W, 5000);</v>
      </c>
      <c r="N81" t="str">
        <f t="shared" si="8"/>
        <v>COM_AddStreamedVariable(VAR_POW_KITCHEN_B_W, 1000);</v>
      </c>
      <c r="O81" t="str">
        <f t="shared" si="12"/>
        <v>cJSON_AddItemToObject(Uha, "VAR_POW_KITCHEN_B_W", cJSON_CreateNumber(mVars[VAR_POW_KITCHEN_B_W]));</v>
      </c>
    </row>
    <row r="82" spans="2:16">
      <c r="B82" s="40"/>
      <c r="C82" s="1">
        <v>80</v>
      </c>
      <c r="D82" s="1" t="str">
        <f t="shared" si="9"/>
        <v>0050</v>
      </c>
      <c r="E82" t="s">
        <v>140</v>
      </c>
      <c r="H82" t="str">
        <f t="shared" si="10"/>
        <v>#define  VAR_EL_HEATER_STATUS  80</v>
      </c>
      <c r="I82" t="str">
        <f t="shared" si="11"/>
        <v>public const byte VAR_EL_HEATER_STATUS = 80;</v>
      </c>
      <c r="L82" t="str">
        <f t="shared" si="13"/>
        <v>UpdateScanList(VAR_EL_HEATER_STATUS, 5000);</v>
      </c>
      <c r="N82" t="str">
        <f t="shared" si="8"/>
        <v>COM_AddStreamedVariable(VAR_EL_HEATER_STATUS, 1000);</v>
      </c>
      <c r="O82" t="str">
        <f t="shared" si="12"/>
        <v>cJSON_AddItemToObject(Uha, "VAR_EL_HEATER_STATUS", cJSON_CreateNumber(mVars[VAR_EL_HEATER_STATUS]));</v>
      </c>
      <c r="P82" t="str">
        <f t="shared" ref="P82:P135" si="14">CONCATENATE("cJSON_AddItemToObject(Uha, ","""",E82,"""",", cJSON_CreateNumber(mVars[",C82,"]));")</f>
        <v>cJSON_AddItemToObject(Uha, "VAR_EL_HEATER_STATUS", cJSON_CreateNumber(mVars[80]));</v>
      </c>
    </row>
    <row r="83" spans="2:16">
      <c r="B83" s="40"/>
      <c r="C83" s="1">
        <v>81</v>
      </c>
      <c r="D83" s="1" t="str">
        <f t="shared" si="9"/>
        <v>0051</v>
      </c>
      <c r="E83" t="s">
        <v>141</v>
      </c>
      <c r="H83" t="str">
        <f t="shared" si="10"/>
        <v>#define  VAR_EL_HEATER_POWER  81</v>
      </c>
      <c r="I83" t="str">
        <f t="shared" si="11"/>
        <v>public const byte VAR_EL_HEATER_POWER = 81;</v>
      </c>
      <c r="L83" t="str">
        <f t="shared" si="13"/>
        <v>UpdateScanList(VAR_EL_HEATER_POWER, 5000);</v>
      </c>
      <c r="N83" t="str">
        <f t="shared" si="8"/>
        <v>COM_AddStreamedVariable(VAR_EL_HEATER_POWER, 1000);</v>
      </c>
      <c r="O83" t="str">
        <f t="shared" si="12"/>
        <v>cJSON_AddItemToObject(Uha, "VAR_EL_HEATER_POWER", cJSON_CreateNumber(mVars[VAR_EL_HEATER_POWER]));</v>
      </c>
      <c r="P83" t="str">
        <f t="shared" si="14"/>
        <v>cJSON_AddItemToObject(Uha, "VAR_EL_HEATER_POWER", cJSON_CreateNumber(mVars[81]));</v>
      </c>
    </row>
    <row r="84" spans="2:16">
      <c r="B84" s="40"/>
      <c r="C84" s="1">
        <v>82</v>
      </c>
      <c r="D84" s="1" t="str">
        <f t="shared" si="9"/>
        <v>0052</v>
      </c>
      <c r="E84" t="s">
        <v>157</v>
      </c>
      <c r="H84" t="str">
        <f t="shared" si="10"/>
        <v>#define  VAR_EL_HEATER_CURRENT  82</v>
      </c>
      <c r="I84" t="str">
        <f t="shared" si="11"/>
        <v>public const byte VAR_EL_HEATER_CURRENT = 82;</v>
      </c>
      <c r="L84" t="str">
        <f t="shared" si="13"/>
        <v>UpdateScanList(VAR_EL_HEATER_CURRENT, 5000);</v>
      </c>
      <c r="N84" t="str">
        <f t="shared" si="8"/>
        <v>COM_AddStreamedVariable(VAR_EL_HEATER_CURRENT, 1000);</v>
      </c>
      <c r="O84" t="str">
        <f t="shared" si="12"/>
        <v>cJSON_AddItemToObject(Uha, "VAR_EL_HEATER_CURRENT", cJSON_CreateNumber(mVars[VAR_EL_HEATER_CURRENT]));</v>
      </c>
      <c r="P84" t="str">
        <f t="shared" si="14"/>
        <v>cJSON_AddItemToObject(Uha, "VAR_EL_HEATER_CURRENT", cJSON_CreateNumber(mVars[82]));</v>
      </c>
    </row>
    <row r="85" spans="2:16">
      <c r="B85" s="40"/>
      <c r="C85" s="1">
        <v>83</v>
      </c>
      <c r="D85" s="1" t="str">
        <f t="shared" si="9"/>
        <v>0053</v>
      </c>
      <c r="E85" t="s">
        <v>158</v>
      </c>
      <c r="H85" t="str">
        <f t="shared" si="10"/>
        <v>#define  VAR_EL_HEATER_CONS  83</v>
      </c>
      <c r="I85" t="str">
        <f t="shared" si="11"/>
        <v>public const byte VAR_EL_HEATER_CONS = 83;</v>
      </c>
      <c r="L85" t="str">
        <f t="shared" si="13"/>
        <v>UpdateScanList(VAR_EL_HEATER_CONS, 5000);</v>
      </c>
      <c r="N85" t="str">
        <f t="shared" si="8"/>
        <v>COM_AddStreamedVariable(VAR_EL_HEATER_CONS, 1000);</v>
      </c>
      <c r="O85" t="str">
        <f t="shared" si="12"/>
        <v>cJSON_AddItemToObject(Uha, "VAR_EL_HEATER_CONS", cJSON_CreateNumber(mVars[VAR_EL_HEATER_CONS]));</v>
      </c>
      <c r="P85" t="str">
        <f t="shared" si="14"/>
        <v>cJSON_AddItemToObject(Uha, "VAR_EL_HEATER_CONS", cJSON_CreateNumber(mVars[83]));</v>
      </c>
    </row>
    <row r="86" spans="2:16">
      <c r="B86" s="40"/>
      <c r="C86" s="1">
        <v>84</v>
      </c>
      <c r="D86" s="1" t="str">
        <f t="shared" si="9"/>
        <v>0054</v>
      </c>
      <c r="H86" t="str">
        <f t="shared" si="10"/>
        <v>#define    84</v>
      </c>
      <c r="I86" t="str">
        <f t="shared" si="11"/>
        <v>public const byte  = 84;</v>
      </c>
      <c r="L86" t="str">
        <f t="shared" si="13"/>
        <v>UpdateScanList(, 5000);</v>
      </c>
      <c r="N86" t="str">
        <f t="shared" si="8"/>
        <v>COM_AddStreamedVariable(, 1000);</v>
      </c>
      <c r="O86" t="str">
        <f t="shared" si="12"/>
        <v/>
      </c>
    </row>
    <row r="87" spans="2:16">
      <c r="B87" s="40"/>
      <c r="C87" s="1">
        <v>85</v>
      </c>
      <c r="D87" s="1" t="str">
        <f t="shared" si="9"/>
        <v>0055</v>
      </c>
      <c r="E87" t="s">
        <v>275</v>
      </c>
      <c r="H87" t="str">
        <f t="shared" si="10"/>
        <v>#define  VAR_HEAT_TOTAL_WH  85</v>
      </c>
      <c r="I87" t="str">
        <f t="shared" si="11"/>
        <v>public const byte VAR_HEAT_TOTAL_WH = 85;</v>
      </c>
      <c r="L87" t="str">
        <f t="shared" si="13"/>
        <v>UpdateScanList(VAR_HEAT_TOTAL_WH, 5000);</v>
      </c>
      <c r="N87" t="str">
        <f t="shared" si="8"/>
        <v>COM_AddStreamedVariable(VAR_HEAT_TOTAL_WH, 1000);</v>
      </c>
      <c r="O87" t="str">
        <f t="shared" si="12"/>
        <v>cJSON_AddItemToObject(Uha, "VAR_HEAT_TOTAL_WH", cJSON_CreateNumber(mVars[VAR_HEAT_TOTAL_WH]));</v>
      </c>
      <c r="P87" t="str">
        <f t="shared" si="14"/>
        <v>cJSON_AddItemToObject(Uha, "VAR_HEAT_TOTAL_WH", cJSON_CreateNumber(mVars[85]));</v>
      </c>
    </row>
    <row r="88" spans="2:16">
      <c r="B88" s="40"/>
      <c r="C88" s="1">
        <v>86</v>
      </c>
      <c r="D88" s="1" t="str">
        <f t="shared" si="9"/>
        <v>0056</v>
      </c>
      <c r="E88" t="s">
        <v>276</v>
      </c>
      <c r="H88" t="str">
        <f t="shared" si="10"/>
        <v>#define  VAR_HEAT_HEATING_WH  86</v>
      </c>
      <c r="I88" t="str">
        <f t="shared" si="11"/>
        <v>public const byte VAR_HEAT_HEATING_WH = 86;</v>
      </c>
      <c r="L88" t="str">
        <f t="shared" si="13"/>
        <v>UpdateScanList(VAR_HEAT_HEATING_WH, 5000);</v>
      </c>
      <c r="N88" t="str">
        <f t="shared" si="8"/>
        <v>COM_AddStreamedVariable(VAR_HEAT_HEATING_WH, 1000);</v>
      </c>
      <c r="O88" t="str">
        <f t="shared" si="12"/>
        <v>cJSON_AddItemToObject(Uha, "VAR_HEAT_HEATING_WH", cJSON_CreateNumber(mVars[VAR_HEAT_HEATING_WH]));</v>
      </c>
      <c r="P88" t="str">
        <f t="shared" si="14"/>
        <v>cJSON_AddItemToObject(Uha, "VAR_HEAT_HEATING_WH", cJSON_CreateNumber(mVars[86]));</v>
      </c>
    </row>
    <row r="89" spans="2:16">
      <c r="B89" s="40"/>
      <c r="C89" s="1">
        <v>87</v>
      </c>
      <c r="D89" s="1" t="str">
        <f t="shared" si="9"/>
        <v>0057</v>
      </c>
      <c r="H89" t="str">
        <f t="shared" si="10"/>
        <v>#define    87</v>
      </c>
      <c r="I89" t="str">
        <f t="shared" si="11"/>
        <v>public const byte  = 87;</v>
      </c>
      <c r="L89" t="str">
        <f t="shared" si="13"/>
        <v>UpdateScanList(, 5000);</v>
      </c>
      <c r="N89" t="str">
        <f t="shared" si="8"/>
        <v>COM_AddStreamedVariable(, 1000);</v>
      </c>
      <c r="O89" t="str">
        <f t="shared" si="12"/>
        <v/>
      </c>
    </row>
    <row r="90" spans="2:16">
      <c r="B90" s="40"/>
      <c r="C90" s="1">
        <v>88</v>
      </c>
      <c r="D90" s="1" t="str">
        <f t="shared" si="9"/>
        <v>0058</v>
      </c>
      <c r="H90" t="str">
        <f t="shared" si="10"/>
        <v>#define    88</v>
      </c>
      <c r="I90" t="str">
        <f t="shared" si="11"/>
        <v>public const byte  = 88;</v>
      </c>
      <c r="L90" t="str">
        <f t="shared" si="13"/>
        <v>UpdateScanList(, 5000);</v>
      </c>
      <c r="N90" t="str">
        <f t="shared" si="8"/>
        <v>COM_AddStreamedVariable(, 1000);</v>
      </c>
      <c r="O90" t="str">
        <f t="shared" si="12"/>
        <v/>
      </c>
    </row>
    <row r="91" spans="2:16">
      <c r="B91" s="40"/>
      <c r="C91" s="1">
        <v>89</v>
      </c>
      <c r="D91" s="1" t="str">
        <f t="shared" si="9"/>
        <v>0059</v>
      </c>
      <c r="H91" t="str">
        <f t="shared" si="10"/>
        <v>#define    89</v>
      </c>
      <c r="I91" t="str">
        <f t="shared" si="11"/>
        <v>public const byte  = 89;</v>
      </c>
      <c r="L91" t="str">
        <f t="shared" si="13"/>
        <v>UpdateScanList(, 5000);</v>
      </c>
      <c r="N91" t="str">
        <f t="shared" si="8"/>
        <v>COM_AddStreamedVariable(, 1000);</v>
      </c>
      <c r="O91" t="str">
        <f t="shared" si="12"/>
        <v/>
      </c>
    </row>
    <row r="92" spans="2:16">
      <c r="B92" s="40"/>
      <c r="C92" s="1">
        <v>90</v>
      </c>
      <c r="D92" s="1" t="str">
        <f t="shared" si="9"/>
        <v>005A</v>
      </c>
      <c r="E92" t="s">
        <v>153</v>
      </c>
      <c r="H92" t="str">
        <f t="shared" si="10"/>
        <v>#define  VAR_FLOW_COLD  90</v>
      </c>
      <c r="I92" t="str">
        <f t="shared" si="11"/>
        <v>public const byte VAR_FLOW_COLD = 90;</v>
      </c>
      <c r="L92" t="str">
        <f t="shared" si="13"/>
        <v>UpdateScanList(VAR_FLOW_COLD, 5000);</v>
      </c>
      <c r="N92" t="str">
        <f t="shared" si="8"/>
        <v>COM_AddStreamedVariable(VAR_FLOW_COLD, 1000);</v>
      </c>
      <c r="O92" t="str">
        <f t="shared" si="12"/>
        <v>cJSON_AddItemToObject(Uha, "VAR_FLOW_COLD", cJSON_CreateNumber(mVars[VAR_FLOW_COLD]));</v>
      </c>
      <c r="P92" t="str">
        <f t="shared" si="14"/>
        <v>cJSON_AddItemToObject(Uha, "VAR_FLOW_COLD", cJSON_CreateNumber(mVars[90]));</v>
      </c>
    </row>
    <row r="93" spans="2:16">
      <c r="B93" s="40"/>
      <c r="C93" s="1">
        <v>91</v>
      </c>
      <c r="D93" s="1" t="str">
        <f t="shared" si="9"/>
        <v>005B</v>
      </c>
      <c r="E93" t="s">
        <v>154</v>
      </c>
      <c r="H93" t="str">
        <f t="shared" si="10"/>
        <v>#define  VAR_FLOW_HOT  91</v>
      </c>
      <c r="I93" t="str">
        <f t="shared" si="11"/>
        <v>public const byte VAR_FLOW_HOT = 91;</v>
      </c>
      <c r="L93" t="str">
        <f t="shared" si="13"/>
        <v>UpdateScanList(VAR_FLOW_HOT, 5000);</v>
      </c>
      <c r="N93" t="str">
        <f t="shared" si="8"/>
        <v>COM_AddStreamedVariable(VAR_FLOW_HOT, 1000);</v>
      </c>
      <c r="O93" t="str">
        <f t="shared" si="12"/>
        <v>cJSON_AddItemToObject(Uha, "VAR_FLOW_HOT", cJSON_CreateNumber(mVars[VAR_FLOW_HOT]));</v>
      </c>
      <c r="P93" t="str">
        <f t="shared" si="14"/>
        <v>cJSON_AddItemToObject(Uha, "VAR_FLOW_HOT", cJSON_CreateNumber(mVars[91]));</v>
      </c>
    </row>
    <row r="94" spans="2:16">
      <c r="B94" s="40"/>
      <c r="C94" s="1">
        <v>92</v>
      </c>
      <c r="D94" s="1" t="str">
        <f t="shared" si="9"/>
        <v>005C</v>
      </c>
      <c r="E94" t="s">
        <v>156</v>
      </c>
      <c r="H94" t="str">
        <f t="shared" si="10"/>
        <v>#define  VAR_CONS_COLD  92</v>
      </c>
      <c r="I94" t="str">
        <f t="shared" si="11"/>
        <v>public const byte VAR_CONS_COLD = 92;</v>
      </c>
      <c r="L94" t="str">
        <f t="shared" si="13"/>
        <v>UpdateScanList(VAR_CONS_COLD, 5000);</v>
      </c>
      <c r="N94" t="str">
        <f t="shared" si="8"/>
        <v>COM_AddStreamedVariable(VAR_CONS_COLD, 1000);</v>
      </c>
      <c r="O94" t="str">
        <f t="shared" si="12"/>
        <v>cJSON_AddItemToObject(Uha, "VAR_CONS_COLD", cJSON_CreateNumber(mVars[VAR_CONS_COLD]));</v>
      </c>
      <c r="P94" t="str">
        <f t="shared" si="14"/>
        <v>cJSON_AddItemToObject(Uha, "VAR_CONS_COLD", cJSON_CreateNumber(mVars[92]));</v>
      </c>
    </row>
    <row r="95" spans="2:16">
      <c r="B95" s="40"/>
      <c r="C95" s="1">
        <v>93</v>
      </c>
      <c r="D95" s="1" t="str">
        <f t="shared" si="9"/>
        <v>005D</v>
      </c>
      <c r="E95" t="s">
        <v>155</v>
      </c>
      <c r="H95" t="str">
        <f t="shared" si="10"/>
        <v>#define  VAR_CONS_HOT  93</v>
      </c>
      <c r="I95" t="str">
        <f t="shared" si="11"/>
        <v>public const byte VAR_CONS_HOT = 93;</v>
      </c>
      <c r="L95" t="str">
        <f t="shared" si="13"/>
        <v>UpdateScanList(VAR_CONS_HOT, 5000);</v>
      </c>
      <c r="N95" t="str">
        <f t="shared" si="8"/>
        <v>COM_AddStreamedVariable(VAR_CONS_HOT, 1000);</v>
      </c>
      <c r="O95" t="str">
        <f t="shared" si="12"/>
        <v>cJSON_AddItemToObject(Uha, "VAR_CONS_HOT", cJSON_CreateNumber(mVars[VAR_CONS_HOT]));</v>
      </c>
      <c r="P95" t="str">
        <f t="shared" si="14"/>
        <v>cJSON_AddItemToObject(Uha, "VAR_CONS_HOT", cJSON_CreateNumber(mVars[93]));</v>
      </c>
    </row>
    <row r="96" spans="2:16">
      <c r="B96" s="40"/>
      <c r="C96" s="1">
        <v>94</v>
      </c>
      <c r="D96" s="1" t="str">
        <f t="shared" si="9"/>
        <v>005E</v>
      </c>
      <c r="H96" t="str">
        <f t="shared" si="10"/>
        <v>#define    94</v>
      </c>
      <c r="I96" t="str">
        <f t="shared" si="11"/>
        <v>public const byte  = 94;</v>
      </c>
      <c r="L96" t="str">
        <f t="shared" si="13"/>
        <v>UpdateScanList(, 5000);</v>
      </c>
      <c r="N96" t="str">
        <f t="shared" si="8"/>
        <v>COM_AddStreamedVariable(, 1000);</v>
      </c>
      <c r="O96" t="str">
        <f t="shared" si="12"/>
        <v/>
      </c>
    </row>
    <row r="97" spans="2:16">
      <c r="B97" s="40"/>
      <c r="C97" s="1">
        <v>95</v>
      </c>
      <c r="D97" s="1" t="str">
        <f t="shared" si="9"/>
        <v>005F</v>
      </c>
      <c r="H97" t="str">
        <f t="shared" si="10"/>
        <v>#define    95</v>
      </c>
      <c r="I97" t="str">
        <f t="shared" si="11"/>
        <v>public const byte  = 95;</v>
      </c>
      <c r="L97" t="str">
        <f t="shared" si="13"/>
        <v>UpdateScanList(, 5000);</v>
      </c>
      <c r="N97" t="str">
        <f t="shared" si="8"/>
        <v>COM_AddStreamedVariable(, 1000);</v>
      </c>
      <c r="O97" t="str">
        <f t="shared" si="12"/>
        <v/>
      </c>
    </row>
    <row r="98" spans="2:16">
      <c r="B98" s="40"/>
      <c r="C98" s="1">
        <v>96</v>
      </c>
      <c r="D98" s="1" t="str">
        <f t="shared" si="9"/>
        <v>0060</v>
      </c>
      <c r="H98" t="str">
        <f t="shared" si="10"/>
        <v>#define    96</v>
      </c>
      <c r="I98" t="str">
        <f t="shared" si="11"/>
        <v>public const byte  = 96;</v>
      </c>
      <c r="L98" t="str">
        <f t="shared" si="13"/>
        <v>UpdateScanList(, 5000);</v>
      </c>
      <c r="N98" t="str">
        <f t="shared" si="8"/>
        <v>COM_AddStreamedVariable(, 1000);</v>
      </c>
      <c r="O98" t="str">
        <f t="shared" si="12"/>
        <v/>
      </c>
    </row>
    <row r="99" spans="2:16">
      <c r="B99" s="40"/>
      <c r="C99" s="1">
        <v>97</v>
      </c>
      <c r="D99" s="1" t="str">
        <f t="shared" si="9"/>
        <v>0061</v>
      </c>
      <c r="H99" t="str">
        <f t="shared" si="10"/>
        <v>#define    97</v>
      </c>
      <c r="I99" t="str">
        <f t="shared" si="11"/>
        <v>public const byte  = 97;</v>
      </c>
      <c r="L99" t="str">
        <f t="shared" si="13"/>
        <v>UpdateScanList(, 5000);</v>
      </c>
      <c r="N99" t="str">
        <f t="shared" si="8"/>
        <v>COM_AddStreamedVariable(, 1000);</v>
      </c>
      <c r="O99" t="str">
        <f t="shared" si="12"/>
        <v/>
      </c>
    </row>
    <row r="100" spans="2:16">
      <c r="B100" s="40"/>
      <c r="C100" s="1">
        <v>98</v>
      </c>
      <c r="D100" s="1" t="str">
        <f t="shared" si="9"/>
        <v>0062</v>
      </c>
      <c r="E100" t="s">
        <v>277</v>
      </c>
      <c r="H100" t="str">
        <f t="shared" si="10"/>
        <v>#define  VAR_BOILER_POWER  98</v>
      </c>
      <c r="I100" t="str">
        <f t="shared" si="11"/>
        <v>public const byte VAR_BOILER_POWER = 98;</v>
      </c>
      <c r="L100" t="str">
        <f t="shared" si="13"/>
        <v>UpdateScanList(VAR_BOILER_POWER, 5000);</v>
      </c>
      <c r="N100" t="str">
        <f t="shared" si="8"/>
        <v>COM_AddStreamedVariable(VAR_BOILER_POWER, 1000);</v>
      </c>
      <c r="O100" t="str">
        <f t="shared" si="12"/>
        <v>cJSON_AddItemToObject(Uha, "VAR_BOILER_POWER", cJSON_CreateNumber(mVars[VAR_BOILER_POWER]));</v>
      </c>
      <c r="P100" t="str">
        <f t="shared" si="14"/>
        <v>cJSON_AddItemToObject(Uha, "VAR_BOILER_POWER", cJSON_CreateNumber(mVars[98]));</v>
      </c>
    </row>
    <row r="101" spans="2:16">
      <c r="B101" s="40"/>
      <c r="C101" s="1">
        <v>99</v>
      </c>
      <c r="D101" s="1" t="str">
        <f t="shared" si="9"/>
        <v>0063</v>
      </c>
      <c r="E101" t="s">
        <v>278</v>
      </c>
      <c r="H101" t="str">
        <f t="shared" si="10"/>
        <v>#define  VAR_BOILER_HEAT  99</v>
      </c>
      <c r="I101" t="str">
        <f t="shared" si="11"/>
        <v>public const byte VAR_BOILER_HEAT = 99;</v>
      </c>
      <c r="L101" t="str">
        <f t="shared" si="13"/>
        <v>UpdateScanList(VAR_BOILER_HEAT, 5000);</v>
      </c>
      <c r="N101" t="str">
        <f t="shared" si="8"/>
        <v>COM_AddStreamedVariable(VAR_BOILER_HEAT, 1000);</v>
      </c>
      <c r="O101" t="str">
        <f t="shared" si="12"/>
        <v>cJSON_AddItemToObject(Uha, "VAR_BOILER_HEAT", cJSON_CreateNumber(mVars[VAR_BOILER_HEAT]));</v>
      </c>
      <c r="P101" t="str">
        <f t="shared" si="14"/>
        <v>cJSON_AddItemToObject(Uha, "VAR_BOILER_HEAT", cJSON_CreateNumber(mVars[99]));</v>
      </c>
    </row>
    <row r="102" spans="2:16">
      <c r="B102" s="40" t="s">
        <v>3</v>
      </c>
      <c r="C102" s="1">
        <v>100</v>
      </c>
      <c r="D102" s="1" t="str">
        <f t="shared" si="9"/>
        <v>0064</v>
      </c>
      <c r="E102" t="s">
        <v>5</v>
      </c>
      <c r="F102" t="s">
        <v>53</v>
      </c>
      <c r="G102">
        <v>1</v>
      </c>
      <c r="H102" t="str">
        <f>CONCATENATE("#define  ",E102,"  ",C102)</f>
        <v>#define  VAR_TEMP_BOILER  100</v>
      </c>
      <c r="I102" t="str">
        <f>CONCATENATE("public const byte ",E102," = ",C102,";")</f>
        <v>public const byte VAR_TEMP_BOILER = 100;</v>
      </c>
      <c r="K102" t="str">
        <f>CONCATENATE("TEMP_AssignSensor(",F102,", ",E102,", ",G102,");")</f>
        <v>TEMP_AssignSensor(T303, VAR_TEMP_BOILER, 1);</v>
      </c>
      <c r="L102" t="str">
        <f t="shared" si="13"/>
        <v>UpdateScanList(VAR_TEMP_BOILER, 5000);</v>
      </c>
      <c r="N102" t="str">
        <f t="shared" si="8"/>
        <v>COM_AddStreamedVariable(VAR_TEMP_BOILER, 1000);</v>
      </c>
      <c r="O102" t="str">
        <f t="shared" si="12"/>
        <v>cJSON_AddItemToObject(Uha, "VAR_TEMP_BOILER", cJSON_CreateNumber(mVars[VAR_TEMP_BOILER]));</v>
      </c>
      <c r="P102" t="str">
        <f t="shared" si="14"/>
        <v>cJSON_AddItemToObject(Uha, "VAR_TEMP_BOILER", cJSON_CreateNumber(mVars[100]));</v>
      </c>
    </row>
    <row r="103" spans="2:16">
      <c r="B103" s="40"/>
      <c r="C103" s="1">
        <v>101</v>
      </c>
      <c r="D103" s="1" t="str">
        <f t="shared" si="9"/>
        <v>0065</v>
      </c>
      <c r="E103" t="s">
        <v>6</v>
      </c>
      <c r="F103" t="s">
        <v>54</v>
      </c>
      <c r="G103">
        <v>1</v>
      </c>
      <c r="H103" t="str">
        <f t="shared" ref="H103:H135" si="15">CONCATENATE("#define  ",E103,"  ",C103)</f>
        <v>#define  VAR_TEMP_BOILER_IN  101</v>
      </c>
      <c r="I103" t="str">
        <f t="shared" ref="I103:I135" si="16">CONCATENATE("public const byte ",E103," = ",C103,";")</f>
        <v>public const byte VAR_TEMP_BOILER_IN = 101;</v>
      </c>
      <c r="K103" t="str">
        <f t="shared" ref="K103:K129" si="17">CONCATENATE("TEMP_AssignSensor(",F103,", ",E103,", ",G103,");")</f>
        <v>TEMP_AssignSensor(T110, VAR_TEMP_BOILER_IN, 1);</v>
      </c>
      <c r="L103" t="str">
        <f t="shared" si="13"/>
        <v>UpdateScanList(VAR_TEMP_BOILER_IN, 5000);</v>
      </c>
      <c r="N103" t="str">
        <f t="shared" si="8"/>
        <v>COM_AddStreamedVariable(VAR_TEMP_BOILER_IN, 1000);</v>
      </c>
      <c r="O103" t="str">
        <f t="shared" si="12"/>
        <v>cJSON_AddItemToObject(Uha, "VAR_TEMP_BOILER_IN", cJSON_CreateNumber(mVars[VAR_TEMP_BOILER_IN]));</v>
      </c>
      <c r="P103" t="str">
        <f t="shared" si="14"/>
        <v>cJSON_AddItemToObject(Uha, "VAR_TEMP_BOILER_IN", cJSON_CreateNumber(mVars[101]));</v>
      </c>
    </row>
    <row r="104" spans="2:16">
      <c r="B104" s="40"/>
      <c r="C104" s="1">
        <v>102</v>
      </c>
      <c r="D104" s="1" t="str">
        <f t="shared" si="9"/>
        <v>0066</v>
      </c>
      <c r="E104" t="s">
        <v>7</v>
      </c>
      <c r="F104" t="s">
        <v>55</v>
      </c>
      <c r="G104">
        <v>1</v>
      </c>
      <c r="H104" t="str">
        <f t="shared" si="15"/>
        <v>#define  VAR_TEMP_BOILER_OUT  102</v>
      </c>
      <c r="I104" t="str">
        <f t="shared" si="16"/>
        <v>public const byte VAR_TEMP_BOILER_OUT = 102;</v>
      </c>
      <c r="K104" t="str">
        <f t="shared" si="17"/>
        <v>TEMP_AssignSensor(T107, VAR_TEMP_BOILER_OUT, 1);</v>
      </c>
      <c r="L104" t="str">
        <f t="shared" si="13"/>
        <v>UpdateScanList(VAR_TEMP_BOILER_OUT, 5000);</v>
      </c>
      <c r="N104" t="str">
        <f t="shared" si="8"/>
        <v>COM_AddStreamedVariable(VAR_TEMP_BOILER_OUT, 1000);</v>
      </c>
      <c r="O104" t="str">
        <f t="shared" si="12"/>
        <v>cJSON_AddItemToObject(Uha, "VAR_TEMP_BOILER_OUT", cJSON_CreateNumber(mVars[VAR_TEMP_BOILER_OUT]));</v>
      </c>
      <c r="P104" t="str">
        <f t="shared" si="14"/>
        <v>cJSON_AddItemToObject(Uha, "VAR_TEMP_BOILER_OUT", cJSON_CreateNumber(mVars[102]));</v>
      </c>
    </row>
    <row r="105" spans="2:16">
      <c r="B105" s="40"/>
      <c r="C105" s="1">
        <v>103</v>
      </c>
      <c r="D105" s="1" t="str">
        <f t="shared" si="9"/>
        <v>0067</v>
      </c>
      <c r="E105" t="s">
        <v>144</v>
      </c>
      <c r="F105" t="s">
        <v>56</v>
      </c>
      <c r="G105">
        <v>0</v>
      </c>
      <c r="H105" t="str">
        <f t="shared" si="15"/>
        <v>#define  VAR_TEMP_TANK_IN_H  103</v>
      </c>
      <c r="I105" t="str">
        <f t="shared" si="16"/>
        <v>public const byte VAR_TEMP_TANK_IN_H = 103;</v>
      </c>
      <c r="K105" t="str">
        <f t="shared" si="17"/>
        <v>TEMP_AssignSensor(T108, VAR_TEMP_TANK_IN_H, 0);</v>
      </c>
      <c r="L105" t="str">
        <f t="shared" si="13"/>
        <v>UpdateScanList(VAR_TEMP_TANK_IN_H, 5000);</v>
      </c>
      <c r="N105" t="str">
        <f t="shared" si="8"/>
        <v>COM_AddStreamedVariable(VAR_TEMP_TANK_IN_H, 1000);</v>
      </c>
      <c r="O105" t="str">
        <f t="shared" si="12"/>
        <v>cJSON_AddItemToObject(Uha, "VAR_TEMP_TANK_IN_H", cJSON_CreateNumber(mVars[VAR_TEMP_TANK_IN_H]));</v>
      </c>
      <c r="P105" t="str">
        <f t="shared" si="14"/>
        <v>cJSON_AddItemToObject(Uha, "VAR_TEMP_TANK_IN_H", cJSON_CreateNumber(mVars[103]));</v>
      </c>
    </row>
    <row r="106" spans="2:16">
      <c r="B106" s="40"/>
      <c r="C106" s="1">
        <v>104</v>
      </c>
      <c r="D106" s="1" t="str">
        <f t="shared" si="9"/>
        <v>0068</v>
      </c>
      <c r="E106" t="s">
        <v>145</v>
      </c>
      <c r="F106" t="s">
        <v>57</v>
      </c>
      <c r="G106">
        <v>0</v>
      </c>
      <c r="H106" t="str">
        <f t="shared" si="15"/>
        <v>#define  VAR_TEMP_TANK_OUT_H  104</v>
      </c>
      <c r="I106" t="str">
        <f t="shared" si="16"/>
        <v>public const byte VAR_TEMP_TANK_OUT_H = 104;</v>
      </c>
      <c r="K106" t="str">
        <f t="shared" si="17"/>
        <v>TEMP_AssignSensor(T109, VAR_TEMP_TANK_OUT_H, 0);</v>
      </c>
      <c r="L106" t="str">
        <f t="shared" si="13"/>
        <v>UpdateScanList(VAR_TEMP_TANK_OUT_H, 5000);</v>
      </c>
      <c r="N106" t="str">
        <f t="shared" si="8"/>
        <v>COM_AddStreamedVariable(VAR_TEMP_TANK_OUT_H, 1000);</v>
      </c>
      <c r="O106" t="str">
        <f t="shared" si="12"/>
        <v>cJSON_AddItemToObject(Uha, "VAR_TEMP_TANK_OUT_H", cJSON_CreateNumber(mVars[VAR_TEMP_TANK_OUT_H]));</v>
      </c>
      <c r="P106" t="str">
        <f t="shared" si="14"/>
        <v>cJSON_AddItemToObject(Uha, "VAR_TEMP_TANK_OUT_H", cJSON_CreateNumber(mVars[104]));</v>
      </c>
    </row>
    <row r="107" spans="2:16">
      <c r="B107" s="40"/>
      <c r="C107" s="1">
        <v>105</v>
      </c>
      <c r="D107" s="1" t="str">
        <f t="shared" si="9"/>
        <v>0069</v>
      </c>
      <c r="E107" t="s">
        <v>8</v>
      </c>
      <c r="F107" t="s">
        <v>58</v>
      </c>
      <c r="G107">
        <v>0</v>
      </c>
      <c r="H107" t="str">
        <f t="shared" si="15"/>
        <v>#define  VAR_TEMP_TANK_1  105</v>
      </c>
      <c r="I107" t="str">
        <f t="shared" si="16"/>
        <v>public const byte VAR_TEMP_TANK_1 = 105;</v>
      </c>
      <c r="K107" t="str">
        <f t="shared" si="17"/>
        <v>TEMP_AssignSensor(T301, VAR_TEMP_TANK_1, 0);</v>
      </c>
      <c r="L107" t="str">
        <f t="shared" si="13"/>
        <v>UpdateScanList(VAR_TEMP_TANK_1, 5000);</v>
      </c>
      <c r="N107" t="str">
        <f t="shared" si="8"/>
        <v>COM_AddStreamedVariable(VAR_TEMP_TANK_1, 1000);</v>
      </c>
      <c r="O107" t="str">
        <f t="shared" si="12"/>
        <v>cJSON_AddItemToObject(Uha, "VAR_TEMP_TANK_1", cJSON_CreateNumber(mVars[VAR_TEMP_TANK_1]));</v>
      </c>
      <c r="P107" t="str">
        <f t="shared" si="14"/>
        <v>cJSON_AddItemToObject(Uha, "VAR_TEMP_TANK_1", cJSON_CreateNumber(mVars[105]));</v>
      </c>
    </row>
    <row r="108" spans="2:16">
      <c r="B108" s="40"/>
      <c r="C108" s="1">
        <v>106</v>
      </c>
      <c r="D108" s="1" t="str">
        <f t="shared" si="9"/>
        <v>006A</v>
      </c>
      <c r="E108" t="s">
        <v>9</v>
      </c>
      <c r="F108" t="s">
        <v>59</v>
      </c>
      <c r="G108">
        <v>0</v>
      </c>
      <c r="H108" t="str">
        <f t="shared" si="15"/>
        <v>#define  VAR_TEMP_TANK_2  106</v>
      </c>
      <c r="I108" t="str">
        <f t="shared" si="16"/>
        <v>public const byte VAR_TEMP_TANK_2 = 106;</v>
      </c>
      <c r="K108" t="str">
        <f t="shared" si="17"/>
        <v>TEMP_AssignSensor(T302, VAR_TEMP_TANK_2, 0);</v>
      </c>
      <c r="L108" t="str">
        <f t="shared" si="13"/>
        <v>UpdateScanList(VAR_TEMP_TANK_2, 5000);</v>
      </c>
      <c r="N108" t="str">
        <f t="shared" si="8"/>
        <v>COM_AddStreamedVariable(VAR_TEMP_TANK_2, 1000);</v>
      </c>
      <c r="O108" t="str">
        <f t="shared" si="12"/>
        <v>cJSON_AddItemToObject(Uha, "VAR_TEMP_TANK_2", cJSON_CreateNumber(mVars[VAR_TEMP_TANK_2]));</v>
      </c>
      <c r="P108" t="str">
        <f t="shared" si="14"/>
        <v>cJSON_AddItemToObject(Uha, "VAR_TEMP_TANK_2", cJSON_CreateNumber(mVars[106]));</v>
      </c>
    </row>
    <row r="109" spans="2:16">
      <c r="B109" s="40"/>
      <c r="C109" s="1">
        <v>107</v>
      </c>
      <c r="D109" s="1" t="str">
        <f t="shared" si="9"/>
        <v>006B</v>
      </c>
      <c r="E109" t="s">
        <v>10</v>
      </c>
      <c r="F109" t="s">
        <v>60</v>
      </c>
      <c r="G109">
        <v>0</v>
      </c>
      <c r="H109" t="str">
        <f t="shared" si="15"/>
        <v>#define  VAR_TEMP_TANK_3  107</v>
      </c>
      <c r="I109" t="str">
        <f t="shared" si="16"/>
        <v>public const byte VAR_TEMP_TANK_3 = 107;</v>
      </c>
      <c r="K109" t="str">
        <f t="shared" si="17"/>
        <v>TEMP_AssignSensor(T103, VAR_TEMP_TANK_3, 0);</v>
      </c>
      <c r="L109" t="str">
        <f t="shared" si="13"/>
        <v>UpdateScanList(VAR_TEMP_TANK_3, 5000);</v>
      </c>
      <c r="N109" t="str">
        <f t="shared" si="8"/>
        <v>COM_AddStreamedVariable(VAR_TEMP_TANK_3, 1000);</v>
      </c>
      <c r="O109" t="str">
        <f t="shared" si="12"/>
        <v>cJSON_AddItemToObject(Uha, "VAR_TEMP_TANK_3", cJSON_CreateNumber(mVars[VAR_TEMP_TANK_3]));</v>
      </c>
      <c r="P109" t="str">
        <f t="shared" si="14"/>
        <v>cJSON_AddItemToObject(Uha, "VAR_TEMP_TANK_3", cJSON_CreateNumber(mVars[107]));</v>
      </c>
    </row>
    <row r="110" spans="2:16">
      <c r="B110" s="40"/>
      <c r="C110" s="1">
        <v>108</v>
      </c>
      <c r="D110" s="1" t="str">
        <f t="shared" si="9"/>
        <v>006C</v>
      </c>
      <c r="E110" t="s">
        <v>11</v>
      </c>
      <c r="F110" t="s">
        <v>61</v>
      </c>
      <c r="G110">
        <v>0</v>
      </c>
      <c r="H110" t="str">
        <f t="shared" si="15"/>
        <v>#define  VAR_TEMP_TANK_4  108</v>
      </c>
      <c r="I110" t="str">
        <f t="shared" si="16"/>
        <v>public const byte VAR_TEMP_TANK_4 = 108;</v>
      </c>
      <c r="K110" t="str">
        <f t="shared" si="17"/>
        <v>TEMP_AssignSensor(T104, VAR_TEMP_TANK_4, 0);</v>
      </c>
      <c r="L110" t="str">
        <f t="shared" si="13"/>
        <v>UpdateScanList(VAR_TEMP_TANK_4, 5000);</v>
      </c>
      <c r="N110" t="str">
        <f t="shared" si="8"/>
        <v>COM_AddStreamedVariable(VAR_TEMP_TANK_4, 1000);</v>
      </c>
      <c r="O110" t="str">
        <f t="shared" si="12"/>
        <v>cJSON_AddItemToObject(Uha, "VAR_TEMP_TANK_4", cJSON_CreateNumber(mVars[VAR_TEMP_TANK_4]));</v>
      </c>
      <c r="P110" t="str">
        <f t="shared" si="14"/>
        <v>cJSON_AddItemToObject(Uha, "VAR_TEMP_TANK_4", cJSON_CreateNumber(mVars[108]));</v>
      </c>
    </row>
    <row r="111" spans="2:16">
      <c r="B111" s="40"/>
      <c r="C111" s="1">
        <v>109</v>
      </c>
      <c r="D111" s="1" t="str">
        <f t="shared" si="9"/>
        <v>006D</v>
      </c>
      <c r="E111" t="s">
        <v>12</v>
      </c>
      <c r="F111" t="s">
        <v>62</v>
      </c>
      <c r="G111">
        <v>0</v>
      </c>
      <c r="H111" t="str">
        <f t="shared" si="15"/>
        <v>#define  VAR_TEMP_TANK_5  109</v>
      </c>
      <c r="I111" t="str">
        <f t="shared" si="16"/>
        <v>public const byte VAR_TEMP_TANK_5 = 109;</v>
      </c>
      <c r="K111" t="str">
        <f t="shared" si="17"/>
        <v>TEMP_AssignSensor(T105, VAR_TEMP_TANK_5, 0);</v>
      </c>
      <c r="L111" t="str">
        <f t="shared" si="13"/>
        <v>UpdateScanList(VAR_TEMP_TANK_5, 5000);</v>
      </c>
      <c r="N111" t="str">
        <f t="shared" si="8"/>
        <v>COM_AddStreamedVariable(VAR_TEMP_TANK_5, 1000);</v>
      </c>
      <c r="O111" t="str">
        <f t="shared" si="12"/>
        <v>cJSON_AddItemToObject(Uha, "VAR_TEMP_TANK_5", cJSON_CreateNumber(mVars[VAR_TEMP_TANK_5]));</v>
      </c>
      <c r="P111" t="str">
        <f t="shared" si="14"/>
        <v>cJSON_AddItemToObject(Uha, "VAR_TEMP_TANK_5", cJSON_CreateNumber(mVars[109]));</v>
      </c>
    </row>
    <row r="112" spans="2:16">
      <c r="B112" s="40"/>
      <c r="C112" s="1">
        <v>110</v>
      </c>
      <c r="D112" s="1" t="str">
        <f t="shared" si="9"/>
        <v>006E</v>
      </c>
      <c r="E112" t="s">
        <v>13</v>
      </c>
      <c r="F112" t="s">
        <v>63</v>
      </c>
      <c r="G112">
        <v>0</v>
      </c>
      <c r="H112" t="str">
        <f t="shared" si="15"/>
        <v>#define  VAR_TEMP_TANK_6  110</v>
      </c>
      <c r="I112" t="str">
        <f t="shared" si="16"/>
        <v>public const byte VAR_TEMP_TANK_6 = 110;</v>
      </c>
      <c r="K112" t="str">
        <f t="shared" si="17"/>
        <v>TEMP_AssignSensor(T306, VAR_TEMP_TANK_6, 0);</v>
      </c>
      <c r="L112" t="str">
        <f t="shared" si="13"/>
        <v>UpdateScanList(VAR_TEMP_TANK_6, 5000);</v>
      </c>
      <c r="N112" t="str">
        <f t="shared" si="8"/>
        <v>COM_AddStreamedVariable(VAR_TEMP_TANK_6, 1000);</v>
      </c>
      <c r="O112" t="str">
        <f t="shared" si="12"/>
        <v>cJSON_AddItemToObject(Uha, "VAR_TEMP_TANK_6", cJSON_CreateNumber(mVars[VAR_TEMP_TANK_6]));</v>
      </c>
      <c r="P112" t="str">
        <f t="shared" si="14"/>
        <v>cJSON_AddItemToObject(Uha, "VAR_TEMP_TANK_6", cJSON_CreateNumber(mVars[110]));</v>
      </c>
    </row>
    <row r="113" spans="2:16">
      <c r="B113" s="40"/>
      <c r="C113" s="1">
        <v>111</v>
      </c>
      <c r="D113" s="1" t="str">
        <f t="shared" si="9"/>
        <v>006F</v>
      </c>
      <c r="E113" t="s">
        <v>49</v>
      </c>
      <c r="F113" t="s">
        <v>162</v>
      </c>
      <c r="G113">
        <v>1</v>
      </c>
      <c r="H113" t="str">
        <f t="shared" si="15"/>
        <v>#define  VAR_TEMP_WALL_IN  111</v>
      </c>
      <c r="I113" t="str">
        <f t="shared" si="16"/>
        <v>public const byte VAR_TEMP_WALL_IN = 111;</v>
      </c>
      <c r="K113" t="str">
        <f t="shared" si="17"/>
        <v>TEMP_AssignSensor(T2, VAR_TEMP_WALL_IN, 1);</v>
      </c>
      <c r="L113" t="str">
        <f t="shared" si="13"/>
        <v>UpdateScanList(VAR_TEMP_WALL_IN, 5000);</v>
      </c>
      <c r="N113" t="str">
        <f t="shared" si="8"/>
        <v>COM_AddStreamedVariable(VAR_TEMP_WALL_IN, 1000);</v>
      </c>
      <c r="O113" t="str">
        <f t="shared" si="12"/>
        <v>cJSON_AddItemToObject(Uha, "VAR_TEMP_WALL_IN", cJSON_CreateNumber(mVars[VAR_TEMP_WALL_IN]));</v>
      </c>
      <c r="P113" t="str">
        <f t="shared" si="14"/>
        <v>cJSON_AddItemToObject(Uha, "VAR_TEMP_WALL_IN", cJSON_CreateNumber(mVars[111]));</v>
      </c>
    </row>
    <row r="114" spans="2:16">
      <c r="B114" s="40"/>
      <c r="C114" s="1">
        <v>112</v>
      </c>
      <c r="D114" s="1" t="str">
        <f t="shared" si="9"/>
        <v>0070</v>
      </c>
      <c r="E114" t="s">
        <v>50</v>
      </c>
      <c r="F114" t="s">
        <v>163</v>
      </c>
      <c r="G114">
        <v>1</v>
      </c>
      <c r="H114" t="str">
        <f t="shared" si="15"/>
        <v>#define  VAR_TEMP_WALL_OUT  112</v>
      </c>
      <c r="I114" t="str">
        <f t="shared" si="16"/>
        <v>public const byte VAR_TEMP_WALL_OUT = 112;</v>
      </c>
      <c r="K114" t="str">
        <f t="shared" si="17"/>
        <v>TEMP_AssignSensor(T3, VAR_TEMP_WALL_OUT, 1);</v>
      </c>
      <c r="L114" t="str">
        <f t="shared" si="13"/>
        <v>UpdateScanList(VAR_TEMP_WALL_OUT, 5000);</v>
      </c>
      <c r="N114" t="str">
        <f t="shared" si="8"/>
        <v>COM_AddStreamedVariable(VAR_TEMP_WALL_OUT, 1000);</v>
      </c>
      <c r="O114" t="str">
        <f t="shared" si="12"/>
        <v>cJSON_AddItemToObject(Uha, "VAR_TEMP_WALL_OUT", cJSON_CreateNumber(mVars[VAR_TEMP_WALL_OUT]));</v>
      </c>
      <c r="P114" t="str">
        <f t="shared" si="14"/>
        <v>cJSON_AddItemToObject(Uha, "VAR_TEMP_WALL_OUT", cJSON_CreateNumber(mVars[112]));</v>
      </c>
    </row>
    <row r="115" spans="2:16">
      <c r="B115" s="40"/>
      <c r="C115" s="1">
        <v>113</v>
      </c>
      <c r="D115" s="1" t="str">
        <f t="shared" si="9"/>
        <v>0071</v>
      </c>
      <c r="E115" t="s">
        <v>51</v>
      </c>
      <c r="G115" t="s">
        <v>152</v>
      </c>
      <c r="H115" t="str">
        <f t="shared" si="15"/>
        <v>#define  VAR_TEMP_BOILER_EXHAUST  113</v>
      </c>
      <c r="I115" t="str">
        <f t="shared" si="16"/>
        <v>public const byte VAR_TEMP_BOILER_EXHAUST = 113;</v>
      </c>
      <c r="K115" t="str">
        <f t="shared" si="17"/>
        <v>TEMP_AssignSensor(, VAR_TEMP_BOILER_EXHAUST, PTC);</v>
      </c>
      <c r="L115" t="str">
        <f t="shared" si="13"/>
        <v>UpdateScanList(VAR_TEMP_BOILER_EXHAUST, 5000);</v>
      </c>
      <c r="N115" t="str">
        <f t="shared" si="8"/>
        <v>COM_AddStreamedVariable(VAR_TEMP_BOILER_EXHAUST, 1000);</v>
      </c>
      <c r="O115" t="str">
        <f t="shared" si="12"/>
        <v>cJSON_AddItemToObject(Uha, "VAR_TEMP_BOILER_EXHAUST", cJSON_CreateNumber(mVars[VAR_TEMP_BOILER_EXHAUST]));</v>
      </c>
      <c r="P115" t="str">
        <f t="shared" si="14"/>
        <v>cJSON_AddItemToObject(Uha, "VAR_TEMP_BOILER_EXHAUST", cJSON_CreateNumber(mVars[113]));</v>
      </c>
    </row>
    <row r="116" spans="2:16">
      <c r="B116" s="40"/>
      <c r="C116" s="1">
        <v>114</v>
      </c>
      <c r="D116" s="1" t="str">
        <f t="shared" si="9"/>
        <v>0072</v>
      </c>
      <c r="E116" t="s">
        <v>146</v>
      </c>
      <c r="F116" t="s">
        <v>64</v>
      </c>
      <c r="G116">
        <v>1</v>
      </c>
      <c r="H116" t="str">
        <f t="shared" si="15"/>
        <v>#define  VAR_TEMP_RAD_H  114</v>
      </c>
      <c r="I116" t="str">
        <f t="shared" si="16"/>
        <v>public const byte VAR_TEMP_RAD_H = 114;</v>
      </c>
      <c r="K116" t="str">
        <f t="shared" si="17"/>
        <v>TEMP_AssignSensor(T101, VAR_TEMP_RAD_H, 1);</v>
      </c>
      <c r="L116" t="str">
        <f t="shared" si="13"/>
        <v>UpdateScanList(VAR_TEMP_RAD_H, 5000);</v>
      </c>
      <c r="N116" t="str">
        <f t="shared" si="8"/>
        <v>COM_AddStreamedVariable(VAR_TEMP_RAD_H, 1000);</v>
      </c>
      <c r="O116" t="str">
        <f t="shared" si="12"/>
        <v>cJSON_AddItemToObject(Uha, "VAR_TEMP_RAD_H", cJSON_CreateNumber(mVars[VAR_TEMP_RAD_H]));</v>
      </c>
      <c r="P116" t="str">
        <f t="shared" si="14"/>
        <v>cJSON_AddItemToObject(Uha, "VAR_TEMP_RAD_H", cJSON_CreateNumber(mVars[114]));</v>
      </c>
    </row>
    <row r="117" spans="2:16">
      <c r="B117" s="40"/>
      <c r="C117" s="1">
        <v>115</v>
      </c>
      <c r="D117" s="1" t="str">
        <f t="shared" si="9"/>
        <v>0073</v>
      </c>
      <c r="E117" t="s">
        <v>147</v>
      </c>
      <c r="F117" t="s">
        <v>65</v>
      </c>
      <c r="G117">
        <v>1</v>
      </c>
      <c r="H117" t="str">
        <f t="shared" si="15"/>
        <v>#define  VAR_TEMP_RAD_C  115</v>
      </c>
      <c r="I117" t="str">
        <f t="shared" si="16"/>
        <v>public const byte VAR_TEMP_RAD_C = 115;</v>
      </c>
      <c r="K117" t="str">
        <f t="shared" si="17"/>
        <v>TEMP_AssignSensor(T106, VAR_TEMP_RAD_C, 1);</v>
      </c>
      <c r="L117" t="str">
        <f t="shared" si="13"/>
        <v>UpdateScanList(VAR_TEMP_RAD_C, 5000);</v>
      </c>
      <c r="N117" t="str">
        <f t="shared" si="8"/>
        <v>COM_AddStreamedVariable(VAR_TEMP_RAD_C, 1000);</v>
      </c>
      <c r="O117" t="str">
        <f t="shared" si="12"/>
        <v>cJSON_AddItemToObject(Uha, "VAR_TEMP_RAD_C", cJSON_CreateNumber(mVars[VAR_TEMP_RAD_C]));</v>
      </c>
      <c r="P117" t="str">
        <f t="shared" si="14"/>
        <v>cJSON_AddItemToObject(Uha, "VAR_TEMP_RAD_C", cJSON_CreateNumber(mVars[115]));</v>
      </c>
    </row>
    <row r="118" spans="2:16">
      <c r="B118" s="40"/>
      <c r="C118" s="1">
        <v>116</v>
      </c>
      <c r="D118" s="1" t="str">
        <f t="shared" si="9"/>
        <v>0074</v>
      </c>
      <c r="E118" t="s">
        <v>148</v>
      </c>
      <c r="F118" t="s">
        <v>150</v>
      </c>
      <c r="G118">
        <v>1</v>
      </c>
      <c r="H118" t="str">
        <f t="shared" si="15"/>
        <v>#define  VAR_TEMP_TANK_IN_C  116</v>
      </c>
      <c r="I118" t="str">
        <f t="shared" si="16"/>
        <v>public const byte VAR_TEMP_TANK_IN_C = 116;</v>
      </c>
      <c r="K118" t="str">
        <f t="shared" si="17"/>
        <v>TEMP_AssignSensor(T102, VAR_TEMP_TANK_IN_C, 1);</v>
      </c>
      <c r="L118" t="str">
        <f t="shared" si="13"/>
        <v>UpdateScanList(VAR_TEMP_TANK_IN_C, 5000);</v>
      </c>
      <c r="N118" t="str">
        <f t="shared" si="8"/>
        <v>COM_AddStreamedVariable(VAR_TEMP_TANK_IN_C, 1000);</v>
      </c>
      <c r="O118" t="str">
        <f t="shared" si="12"/>
        <v>cJSON_AddItemToObject(Uha, "VAR_TEMP_TANK_IN_C", cJSON_CreateNumber(mVars[VAR_TEMP_TANK_IN_C]));</v>
      </c>
      <c r="P118" t="str">
        <f t="shared" si="14"/>
        <v>cJSON_AddItemToObject(Uha, "VAR_TEMP_TANK_IN_C", cJSON_CreateNumber(mVars[116]));</v>
      </c>
    </row>
    <row r="119" spans="2:16">
      <c r="B119" s="40"/>
      <c r="C119" s="1">
        <v>117</v>
      </c>
      <c r="D119" s="1" t="str">
        <f t="shared" si="9"/>
        <v>0075</v>
      </c>
      <c r="E119" t="s">
        <v>149</v>
      </c>
      <c r="F119" t="s">
        <v>151</v>
      </c>
      <c r="G119">
        <v>1</v>
      </c>
      <c r="H119" t="str">
        <f t="shared" si="15"/>
        <v>#define  VAR_TEMP_TANK_OUT_C  117</v>
      </c>
      <c r="I119" t="str">
        <f t="shared" si="16"/>
        <v>public const byte VAR_TEMP_TANK_OUT_C = 117;</v>
      </c>
      <c r="K119" t="str">
        <f t="shared" si="17"/>
        <v>TEMP_AssignSensor(T8, VAR_TEMP_TANK_OUT_C, 1);</v>
      </c>
      <c r="L119" t="str">
        <f t="shared" si="13"/>
        <v>UpdateScanList(VAR_TEMP_TANK_OUT_C, 5000);</v>
      </c>
      <c r="N119" t="str">
        <f t="shared" si="8"/>
        <v>COM_AddStreamedVariable(VAR_TEMP_TANK_OUT_C, 1000);</v>
      </c>
      <c r="O119" t="str">
        <f t="shared" si="12"/>
        <v>cJSON_AddItemToObject(Uha, "VAR_TEMP_TANK_OUT_C", cJSON_CreateNumber(mVars[VAR_TEMP_TANK_OUT_C]));</v>
      </c>
      <c r="P119" t="str">
        <f t="shared" si="14"/>
        <v>cJSON_AddItemToObject(Uha, "VAR_TEMP_TANK_OUT_C", cJSON_CreateNumber(mVars[117]));</v>
      </c>
    </row>
    <row r="120" spans="2:16">
      <c r="B120" s="40"/>
      <c r="C120" s="1">
        <v>118</v>
      </c>
      <c r="D120" s="1" t="str">
        <f t="shared" si="9"/>
        <v>0076</v>
      </c>
      <c r="L120" t="str">
        <f t="shared" si="13"/>
        <v>UpdateScanList(, 5000);</v>
      </c>
      <c r="N120" t="str">
        <f t="shared" si="8"/>
        <v>COM_AddStreamedVariable(, 1000);</v>
      </c>
      <c r="O120" t="str">
        <f t="shared" si="12"/>
        <v/>
      </c>
      <c r="P120" t="str">
        <f t="shared" si="14"/>
        <v>cJSON_AddItemToObject(Uha, "", cJSON_CreateNumber(mVars[118]));</v>
      </c>
    </row>
    <row r="121" spans="2:16">
      <c r="B121" s="40"/>
      <c r="C121" s="1">
        <v>119</v>
      </c>
      <c r="D121" s="1" t="str">
        <f t="shared" si="9"/>
        <v>0077</v>
      </c>
      <c r="L121" t="str">
        <f t="shared" si="13"/>
        <v>UpdateScanList(, 5000);</v>
      </c>
      <c r="N121" t="str">
        <f t="shared" si="8"/>
        <v>COM_AddStreamedVariable(, 1000);</v>
      </c>
      <c r="O121" t="str">
        <f t="shared" si="12"/>
        <v/>
      </c>
      <c r="P121" t="str">
        <f t="shared" si="14"/>
        <v>cJSON_AddItemToObject(Uha, "", cJSON_CreateNumber(mVars[119]));</v>
      </c>
    </row>
    <row r="122" spans="2:16">
      <c r="B122" s="40"/>
      <c r="C122" s="1">
        <v>120</v>
      </c>
      <c r="D122" s="1" t="str">
        <f t="shared" si="9"/>
        <v>0078</v>
      </c>
      <c r="E122" t="s">
        <v>75</v>
      </c>
      <c r="F122" t="s">
        <v>82</v>
      </c>
      <c r="H122" t="str">
        <f t="shared" si="15"/>
        <v>#define  VAR_TEMP_TECHM_BOARD  120</v>
      </c>
      <c r="I122" t="str">
        <f t="shared" si="16"/>
        <v>public const byte VAR_TEMP_TECHM_BOARD = 120;</v>
      </c>
      <c r="K122" t="str">
        <f t="shared" si="17"/>
        <v>TEMP_AssignSensor(T_TECHM, VAR_TEMP_TECHM_BOARD, );</v>
      </c>
      <c r="L122" t="str">
        <f t="shared" si="13"/>
        <v>UpdateScanList(VAR_TEMP_TECHM_BOARD, 5000);</v>
      </c>
      <c r="N122" t="str">
        <f t="shared" si="8"/>
        <v>COM_AddStreamedVariable(VAR_TEMP_TECHM_BOARD, 1000);</v>
      </c>
      <c r="O122" t="str">
        <f t="shared" si="12"/>
        <v>cJSON_AddItemToObject(Uha, "VAR_TEMP_TECHM_BOARD", cJSON_CreateNumber(mVars[VAR_TEMP_TECHM_BOARD]));</v>
      </c>
      <c r="P122" t="str">
        <f t="shared" si="14"/>
        <v>cJSON_AddItemToObject(Uha, "VAR_TEMP_TECHM_BOARD", cJSON_CreateNumber(mVars[120]));</v>
      </c>
    </row>
    <row r="123" spans="2:16">
      <c r="B123" s="40"/>
      <c r="C123" s="1">
        <v>121</v>
      </c>
      <c r="D123" s="1" t="str">
        <f t="shared" si="9"/>
        <v>0079</v>
      </c>
      <c r="E123" t="s">
        <v>76</v>
      </c>
      <c r="F123" t="s">
        <v>80</v>
      </c>
      <c r="G123">
        <v>0</v>
      </c>
      <c r="H123" t="str">
        <f t="shared" si="15"/>
        <v>#define  VAR_TEMP_IOBOARD_D  121</v>
      </c>
      <c r="I123" t="str">
        <f t="shared" si="16"/>
        <v>public const byte VAR_TEMP_IOBOARD_D = 121;</v>
      </c>
      <c r="K123" t="str">
        <f t="shared" si="17"/>
        <v>TEMP_AssignSensor(T_IOBOARD_D, VAR_TEMP_IOBOARD_D, 0);</v>
      </c>
      <c r="L123" t="str">
        <f t="shared" si="13"/>
        <v>UpdateScanList(VAR_TEMP_IOBOARD_D, 5000);</v>
      </c>
      <c r="N123" t="str">
        <f t="shared" si="8"/>
        <v>COM_AddStreamedVariable(VAR_TEMP_IOBOARD_D, 1000);</v>
      </c>
      <c r="O123" t="str">
        <f t="shared" si="12"/>
        <v>cJSON_AddItemToObject(Uha, "VAR_TEMP_IOBOARD_D", cJSON_CreateNumber(mVars[VAR_TEMP_IOBOARD_D]));</v>
      </c>
      <c r="P123" t="str">
        <f t="shared" si="14"/>
        <v>cJSON_AddItemToObject(Uha, "VAR_TEMP_IOBOARD_D", cJSON_CreateNumber(mVars[121]));</v>
      </c>
    </row>
    <row r="124" spans="2:16">
      <c r="B124" s="40"/>
      <c r="C124" s="1">
        <v>122</v>
      </c>
      <c r="D124" s="1" t="str">
        <f t="shared" si="9"/>
        <v>007A</v>
      </c>
      <c r="E124" t="s">
        <v>77</v>
      </c>
      <c r="F124" t="s">
        <v>83</v>
      </c>
      <c r="G124">
        <v>0</v>
      </c>
      <c r="H124" t="str">
        <f t="shared" si="15"/>
        <v>#define  VAR_TEMP_IOBOARD_U  122</v>
      </c>
      <c r="I124" t="str">
        <f t="shared" si="16"/>
        <v>public const byte VAR_TEMP_IOBOARD_U = 122;</v>
      </c>
      <c r="K124" t="str">
        <f t="shared" si="17"/>
        <v>TEMP_AssignSensor(T_IOBOARD_U, VAR_TEMP_IOBOARD_U, 0);</v>
      </c>
      <c r="L124" t="str">
        <f t="shared" si="13"/>
        <v>UpdateScanList(VAR_TEMP_IOBOARD_U, 5000);</v>
      </c>
      <c r="N124" t="str">
        <f t="shared" si="8"/>
        <v>COM_AddStreamedVariable(VAR_TEMP_IOBOARD_U, 1000);</v>
      </c>
      <c r="O124" t="str">
        <f t="shared" si="12"/>
        <v>cJSON_AddItemToObject(Uha, "VAR_TEMP_IOBOARD_U", cJSON_CreateNumber(mVars[VAR_TEMP_IOBOARD_U]));</v>
      </c>
      <c r="P124" t="str">
        <f t="shared" si="14"/>
        <v>cJSON_AddItemToObject(Uha, "VAR_TEMP_IOBOARD_U", cJSON_CreateNumber(mVars[122]));</v>
      </c>
    </row>
    <row r="125" spans="2:16">
      <c r="B125" s="40"/>
      <c r="C125" s="1">
        <v>123</v>
      </c>
      <c r="D125" s="1" t="str">
        <f t="shared" si="9"/>
        <v>007B</v>
      </c>
      <c r="E125" t="s">
        <v>78</v>
      </c>
      <c r="F125" t="s">
        <v>84</v>
      </c>
      <c r="G125">
        <v>0</v>
      </c>
      <c r="H125" t="str">
        <f t="shared" si="15"/>
        <v>#define  VAR_TEMP_ELECON_BOARD  123</v>
      </c>
      <c r="I125" t="str">
        <f t="shared" si="16"/>
        <v>public const byte VAR_TEMP_ELECON_BOARD = 123;</v>
      </c>
      <c r="K125" t="str">
        <f t="shared" si="17"/>
        <v>TEMP_AssignSensor(T_ELECON, VAR_TEMP_ELECON_BOARD, 0);</v>
      </c>
      <c r="L125" t="str">
        <f t="shared" si="13"/>
        <v>UpdateScanList(VAR_TEMP_ELECON_BOARD, 5000);</v>
      </c>
      <c r="N125" t="str">
        <f t="shared" si="8"/>
        <v>COM_AddStreamedVariable(VAR_TEMP_ELECON_BOARD, 1000);</v>
      </c>
      <c r="O125" t="str">
        <f t="shared" si="12"/>
        <v>cJSON_AddItemToObject(Uha, "VAR_TEMP_ELECON_BOARD", cJSON_CreateNumber(mVars[VAR_TEMP_ELECON_BOARD]));</v>
      </c>
      <c r="P125" t="str">
        <f t="shared" si="14"/>
        <v>cJSON_AddItemToObject(Uha, "VAR_TEMP_ELECON_BOARD", cJSON_CreateNumber(mVars[123]));</v>
      </c>
    </row>
    <row r="126" spans="2:16">
      <c r="B126" s="40"/>
      <c r="C126" s="1">
        <v>124</v>
      </c>
      <c r="D126" s="1" t="str">
        <f t="shared" si="9"/>
        <v>007C</v>
      </c>
      <c r="E126" t="s">
        <v>79</v>
      </c>
      <c r="F126" t="s">
        <v>81</v>
      </c>
      <c r="G126">
        <v>0</v>
      </c>
      <c r="H126" t="str">
        <f t="shared" si="15"/>
        <v>#define  VAR_TEMP_DOWNSTAIRS  124</v>
      </c>
      <c r="I126" t="str">
        <f t="shared" si="16"/>
        <v>public const byte VAR_TEMP_DOWNSTAIRS = 124;</v>
      </c>
      <c r="K126" t="str">
        <f t="shared" si="17"/>
        <v>TEMP_AssignSensor(T9, VAR_TEMP_DOWNSTAIRS, 0);</v>
      </c>
      <c r="L126" t="str">
        <f t="shared" si="13"/>
        <v>UpdateScanList(VAR_TEMP_DOWNSTAIRS, 5000);</v>
      </c>
      <c r="N126" t="str">
        <f t="shared" si="8"/>
        <v>COM_AddStreamedVariable(VAR_TEMP_DOWNSTAIRS, 1000);</v>
      </c>
      <c r="O126" t="str">
        <f t="shared" si="12"/>
        <v>cJSON_AddItemToObject(Uha, "VAR_TEMP_DOWNSTAIRS", cJSON_CreateNumber(mVars[VAR_TEMP_DOWNSTAIRS]));</v>
      </c>
      <c r="P126" t="str">
        <f t="shared" si="14"/>
        <v>cJSON_AddItemToObject(Uha, "VAR_TEMP_DOWNSTAIRS", cJSON_CreateNumber(mVars[124]));</v>
      </c>
    </row>
    <row r="127" spans="2:16">
      <c r="B127" s="40"/>
      <c r="C127" s="1">
        <v>125</v>
      </c>
      <c r="D127" s="1" t="str">
        <f t="shared" si="9"/>
        <v>007D</v>
      </c>
      <c r="E127" t="s">
        <v>160</v>
      </c>
      <c r="F127" t="s">
        <v>164</v>
      </c>
      <c r="G127">
        <v>0</v>
      </c>
      <c r="H127" t="str">
        <f t="shared" si="15"/>
        <v>#define  VAR_TEMP_OFFICE  125</v>
      </c>
      <c r="I127" t="str">
        <f t="shared" si="16"/>
        <v>public const byte VAR_TEMP_OFFICE = 125;</v>
      </c>
      <c r="K127" t="str">
        <f t="shared" si="17"/>
        <v>TEMP_AssignSensor(T7, VAR_TEMP_OFFICE, 0);</v>
      </c>
      <c r="L127" t="str">
        <f t="shared" si="13"/>
        <v>UpdateScanList(VAR_TEMP_OFFICE, 5000);</v>
      </c>
      <c r="N127" t="str">
        <f t="shared" ref="N127:N135" si="18">CONCATENATE("COM_AddStreamedVariable(",E127, ", 1000);")</f>
        <v>COM_AddStreamedVariable(VAR_TEMP_OFFICE, 1000);</v>
      </c>
      <c r="O127" t="str">
        <f t="shared" si="12"/>
        <v>cJSON_AddItemToObject(Uha, "VAR_TEMP_OFFICE", cJSON_CreateNumber(mVars[VAR_TEMP_OFFICE]));</v>
      </c>
      <c r="P127" t="str">
        <f t="shared" si="14"/>
        <v>cJSON_AddItemToObject(Uha, "VAR_TEMP_OFFICE", cJSON_CreateNumber(mVars[125]));</v>
      </c>
    </row>
    <row r="128" spans="2:16">
      <c r="B128" s="40"/>
      <c r="C128" s="1">
        <v>126</v>
      </c>
      <c r="D128" s="1" t="str">
        <f t="shared" si="9"/>
        <v>007E</v>
      </c>
      <c r="E128" t="s">
        <v>165</v>
      </c>
      <c r="F128" t="s">
        <v>161</v>
      </c>
      <c r="G128">
        <v>0</v>
      </c>
      <c r="H128" t="str">
        <f t="shared" si="15"/>
        <v>#define  VAR_TEMP_KIDROOM  126</v>
      </c>
      <c r="I128" t="str">
        <f t="shared" si="16"/>
        <v>public const byte VAR_TEMP_KIDROOM = 126;</v>
      </c>
      <c r="K128" t="str">
        <f t="shared" si="17"/>
        <v>TEMP_AssignSensor(T310, VAR_TEMP_KIDROOM, 0);</v>
      </c>
      <c r="L128" t="str">
        <f t="shared" si="13"/>
        <v>UpdateScanList(VAR_TEMP_KIDROOM, 5000);</v>
      </c>
      <c r="N128" t="str">
        <f t="shared" si="18"/>
        <v>COM_AddStreamedVariable(VAR_TEMP_KIDROOM, 1000);</v>
      </c>
      <c r="O128" t="str">
        <f t="shared" si="12"/>
        <v>cJSON_AddItemToObject(Uha, "VAR_TEMP_KIDROOM", cJSON_CreateNumber(mVars[VAR_TEMP_KIDROOM]));</v>
      </c>
      <c r="P128" t="str">
        <f t="shared" si="14"/>
        <v>cJSON_AddItemToObject(Uha, "VAR_TEMP_KIDROOM", cJSON_CreateNumber(mVars[126]));</v>
      </c>
    </row>
    <row r="129" spans="2:16">
      <c r="B129" s="40"/>
      <c r="C129" s="1">
        <v>127</v>
      </c>
      <c r="D129" s="1" t="str">
        <f t="shared" si="9"/>
        <v>007F</v>
      </c>
      <c r="E129" t="s">
        <v>166</v>
      </c>
      <c r="F129" t="s">
        <v>167</v>
      </c>
      <c r="G129">
        <v>0</v>
      </c>
      <c r="H129" t="str">
        <f t="shared" si="15"/>
        <v>#define  VAR_TEMP_OUTSIDE  127</v>
      </c>
      <c r="I129" t="str">
        <f t="shared" si="16"/>
        <v>public const byte VAR_TEMP_OUTSIDE = 127;</v>
      </c>
      <c r="K129" t="str">
        <f t="shared" si="17"/>
        <v>TEMP_AssignSensor(T304, VAR_TEMP_OUTSIDE, 0);</v>
      </c>
      <c r="L129" t="str">
        <f t="shared" si="13"/>
        <v>UpdateScanList(VAR_TEMP_OUTSIDE, 5000);</v>
      </c>
      <c r="N129" t="str">
        <f t="shared" si="18"/>
        <v>COM_AddStreamedVariable(VAR_TEMP_OUTSIDE, 1000);</v>
      </c>
      <c r="O129" t="str">
        <f t="shared" si="12"/>
        <v>cJSON_AddItemToObject(Uha, "VAR_TEMP_OUTSIDE", cJSON_CreateNumber(mVars[VAR_TEMP_OUTSIDE]));</v>
      </c>
      <c r="P129" t="str">
        <f t="shared" si="14"/>
        <v>cJSON_AddItemToObject(Uha, "VAR_TEMP_OUTSIDE", cJSON_CreateNumber(mVars[127]));</v>
      </c>
    </row>
    <row r="130" spans="2:16">
      <c r="B130" s="40"/>
      <c r="C130" s="1">
        <v>128</v>
      </c>
      <c r="D130" s="1" t="str">
        <f t="shared" ref="D130:D193" si="19">DEC2HEX(C130,4)</f>
        <v>0080</v>
      </c>
      <c r="E130" t="s">
        <v>295</v>
      </c>
      <c r="H130" t="str">
        <f t="shared" si="15"/>
        <v>#define  VAR_TEMP_RECU_FC  128</v>
      </c>
      <c r="I130" t="str">
        <f t="shared" si="16"/>
        <v>public const byte VAR_TEMP_RECU_FC = 128;</v>
      </c>
      <c r="L130" t="str">
        <f t="shared" si="13"/>
        <v>UpdateScanList(VAR_TEMP_RECU_FC, 5000);</v>
      </c>
      <c r="N130" t="str">
        <f t="shared" si="18"/>
        <v>COM_AddStreamedVariable(VAR_TEMP_RECU_FC, 1000);</v>
      </c>
      <c r="O130" t="str">
        <f t="shared" si="12"/>
        <v>cJSON_AddItemToObject(Uha, "VAR_TEMP_RECU_FC", cJSON_CreateNumber(mVars[VAR_TEMP_RECU_FC]));</v>
      </c>
      <c r="P130" t="str">
        <f t="shared" si="14"/>
        <v>cJSON_AddItemToObject(Uha, "VAR_TEMP_RECU_FC", cJSON_CreateNumber(mVars[128]));</v>
      </c>
    </row>
    <row r="131" spans="2:16">
      <c r="B131" s="40"/>
      <c r="C131" s="1">
        <v>129</v>
      </c>
      <c r="D131" s="1" t="str">
        <f t="shared" si="19"/>
        <v>0081</v>
      </c>
      <c r="E131" t="s">
        <v>296</v>
      </c>
      <c r="H131" t="str">
        <f t="shared" si="15"/>
        <v>#define  VAR_TEMP_RECU_FH  129</v>
      </c>
      <c r="I131" t="str">
        <f t="shared" si="16"/>
        <v>public const byte VAR_TEMP_RECU_FH = 129;</v>
      </c>
      <c r="L131" t="str">
        <f t="shared" si="13"/>
        <v>UpdateScanList(VAR_TEMP_RECU_FH, 5000);</v>
      </c>
      <c r="N131" t="str">
        <f t="shared" si="18"/>
        <v>COM_AddStreamedVariable(VAR_TEMP_RECU_FH, 1000);</v>
      </c>
      <c r="O131" t="str">
        <f t="shared" si="12"/>
        <v>cJSON_AddItemToObject(Uha, "VAR_TEMP_RECU_FH", cJSON_CreateNumber(mVars[VAR_TEMP_RECU_FH]));</v>
      </c>
      <c r="P131" t="str">
        <f t="shared" si="14"/>
        <v>cJSON_AddItemToObject(Uha, "VAR_TEMP_RECU_FH", cJSON_CreateNumber(mVars[129]));</v>
      </c>
    </row>
    <row r="132" spans="2:16">
      <c r="B132" s="40"/>
      <c r="C132" s="1">
        <v>130</v>
      </c>
      <c r="D132" s="1" t="str">
        <f t="shared" si="19"/>
        <v>0082</v>
      </c>
      <c r="E132" t="s">
        <v>297</v>
      </c>
      <c r="F132" t="s">
        <v>300</v>
      </c>
      <c r="H132" t="str">
        <f t="shared" si="15"/>
        <v>#define  VAR_TEMP_RECU_WH  130</v>
      </c>
      <c r="I132" t="str">
        <f t="shared" si="16"/>
        <v>public const byte VAR_TEMP_RECU_WH = 130;</v>
      </c>
      <c r="L132" t="str">
        <f t="shared" si="13"/>
        <v>UpdateScanList(VAR_TEMP_RECU_WH, 5000);</v>
      </c>
      <c r="N132" t="str">
        <f t="shared" si="18"/>
        <v>COM_AddStreamedVariable(VAR_TEMP_RECU_WH, 1000);</v>
      </c>
      <c r="O132" t="str">
        <f t="shared" si="12"/>
        <v>cJSON_AddItemToObject(Uha, "VAR_TEMP_RECU_WH", cJSON_CreateNumber(mVars[VAR_TEMP_RECU_WH]));</v>
      </c>
      <c r="P132" t="str">
        <f t="shared" si="14"/>
        <v>cJSON_AddItemToObject(Uha, "VAR_TEMP_RECU_WH", cJSON_CreateNumber(mVars[130]));</v>
      </c>
    </row>
    <row r="133" spans="2:16">
      <c r="B133" s="40"/>
      <c r="C133" s="1">
        <v>131</v>
      </c>
      <c r="D133" s="1" t="str">
        <f t="shared" si="19"/>
        <v>0083</v>
      </c>
      <c r="E133" t="s">
        <v>298</v>
      </c>
      <c r="F133" t="s">
        <v>299</v>
      </c>
      <c r="H133" t="str">
        <f t="shared" si="15"/>
        <v>#define  VAR_TEMP_RECU_WC  131</v>
      </c>
      <c r="I133" t="str">
        <f t="shared" si="16"/>
        <v>public const byte VAR_TEMP_RECU_WC = 131;</v>
      </c>
      <c r="L133" t="str">
        <f t="shared" si="13"/>
        <v>UpdateScanList(VAR_TEMP_RECU_WC, 5000);</v>
      </c>
      <c r="N133" t="str">
        <f t="shared" si="18"/>
        <v>COM_AddStreamedVariable(VAR_TEMP_RECU_WC, 1000);</v>
      </c>
      <c r="O133" t="str">
        <f t="shared" si="12"/>
        <v>cJSON_AddItemToObject(Uha, "VAR_TEMP_RECU_WC", cJSON_CreateNumber(mVars[VAR_TEMP_RECU_WC]));</v>
      </c>
      <c r="P133" t="str">
        <f t="shared" si="14"/>
        <v>cJSON_AddItemToObject(Uha, "VAR_TEMP_RECU_WC", cJSON_CreateNumber(mVars[131]));</v>
      </c>
    </row>
    <row r="134" spans="2:16">
      <c r="B134" s="40"/>
      <c r="C134" s="1">
        <v>132</v>
      </c>
      <c r="D134" s="1" t="str">
        <f t="shared" si="19"/>
        <v>0084</v>
      </c>
      <c r="E134" t="s">
        <v>301</v>
      </c>
      <c r="H134" t="str">
        <f t="shared" si="15"/>
        <v>#define  VAR_RH_RECU_FH  132</v>
      </c>
      <c r="I134" t="str">
        <f t="shared" si="16"/>
        <v>public const byte VAR_RH_RECU_FH = 132;</v>
      </c>
      <c r="L134" t="str">
        <f t="shared" si="13"/>
        <v>UpdateScanList(VAR_RH_RECU_FH, 5000);</v>
      </c>
      <c r="N134" t="str">
        <f t="shared" si="18"/>
        <v>COM_AddStreamedVariable(VAR_RH_RECU_FH, 1000);</v>
      </c>
      <c r="O134" t="str">
        <f t="shared" si="12"/>
        <v>cJSON_AddItemToObject(Uha, "VAR_RH_RECU_FH", cJSON_CreateNumber(mVars[VAR_RH_RECU_FH]));</v>
      </c>
      <c r="P134" t="str">
        <f t="shared" si="14"/>
        <v>cJSON_AddItemToObject(Uha, "VAR_RH_RECU_FH", cJSON_CreateNumber(mVars[132]));</v>
      </c>
    </row>
    <row r="135" spans="2:16">
      <c r="B135" s="40"/>
      <c r="C135" s="1">
        <v>133</v>
      </c>
      <c r="D135" s="1" t="str">
        <f t="shared" si="19"/>
        <v>0085</v>
      </c>
      <c r="E135" t="s">
        <v>302</v>
      </c>
      <c r="H135" t="str">
        <f t="shared" si="15"/>
        <v>#define  VAR_RH_RECU_WH  133</v>
      </c>
      <c r="I135" t="str">
        <f t="shared" si="16"/>
        <v>public const byte VAR_RH_RECU_WH = 133;</v>
      </c>
      <c r="L135" t="str">
        <f t="shared" si="13"/>
        <v>UpdateScanList(VAR_RH_RECU_WH, 5000);</v>
      </c>
      <c r="N135" t="str">
        <f t="shared" si="18"/>
        <v>COM_AddStreamedVariable(VAR_RH_RECU_WH, 1000);</v>
      </c>
      <c r="O135" t="str">
        <f t="shared" si="12"/>
        <v>cJSON_AddItemToObject(Uha, "VAR_RH_RECU_WH", cJSON_CreateNumber(mVars[VAR_RH_RECU_WH]));</v>
      </c>
      <c r="P135" t="str">
        <f t="shared" si="14"/>
        <v>cJSON_AddItemToObject(Uha, "VAR_RH_RECU_WH", cJSON_CreateNumber(mVars[133]));</v>
      </c>
    </row>
    <row r="136" spans="2:16">
      <c r="B136" s="40"/>
      <c r="C136" s="1">
        <v>134</v>
      </c>
      <c r="D136" s="1" t="str">
        <f t="shared" si="19"/>
        <v>0086</v>
      </c>
      <c r="L136" t="str">
        <f t="shared" si="13"/>
        <v>UpdateScanList(, 5000);</v>
      </c>
      <c r="O136" t="str">
        <f t="shared" si="12"/>
        <v/>
      </c>
    </row>
    <row r="137" spans="2:16">
      <c r="B137" s="40"/>
      <c r="C137" s="1">
        <v>135</v>
      </c>
      <c r="D137" s="1" t="str">
        <f t="shared" si="19"/>
        <v>0087</v>
      </c>
      <c r="L137" t="str">
        <f t="shared" si="13"/>
        <v>UpdateScanList(, 5000);</v>
      </c>
      <c r="O137" t="str">
        <f t="shared" si="12"/>
        <v/>
      </c>
    </row>
    <row r="138" spans="2:16">
      <c r="B138" s="40"/>
      <c r="C138" s="1">
        <v>136</v>
      </c>
      <c r="D138" s="1" t="str">
        <f t="shared" si="19"/>
        <v>0088</v>
      </c>
      <c r="L138" t="str">
        <f t="shared" si="13"/>
        <v>UpdateScanList(, 5000);</v>
      </c>
      <c r="O138" t="str">
        <f t="shared" si="12"/>
        <v/>
      </c>
    </row>
    <row r="139" spans="2:16">
      <c r="B139" s="40"/>
      <c r="C139" s="1">
        <v>137</v>
      </c>
      <c r="D139" s="1" t="str">
        <f t="shared" si="19"/>
        <v>0089</v>
      </c>
      <c r="E139" t="s">
        <v>303</v>
      </c>
      <c r="H139" t="str">
        <f t="shared" ref="H139:H202" si="20">CONCATENATE("#define  ",E139,"  ",C139)</f>
        <v>#define  VAR_CO2_RECU  137</v>
      </c>
      <c r="I139" t="str">
        <f t="shared" ref="I139:I202" si="21">CONCATENATE("public const byte ",E139," = ",C139,";")</f>
        <v>public const byte VAR_CO2_RECU = 137;</v>
      </c>
      <c r="L139" t="str">
        <f t="shared" si="13"/>
        <v>UpdateScanList(VAR_CO2_RECU, 5000);</v>
      </c>
      <c r="N139" t="str">
        <f t="shared" ref="N139:N202" si="22">CONCATENATE("COM_AddStreamedVariable(",E139, ", 1000);")</f>
        <v>COM_AddStreamedVariable(VAR_CO2_RECU, 1000);</v>
      </c>
      <c r="O139" t="str">
        <f t="shared" ref="O139:O202" si="23">IF(ISBLANK(E139),"",CONCATENATE("cJSON_AddItemToObject(Uha, ","""",E139,"""",", cJSON_CreateNumber(mVars[",E139,"]));"))</f>
        <v>cJSON_AddItemToObject(Uha, "VAR_CO2_RECU", cJSON_CreateNumber(mVars[VAR_CO2_RECU]));</v>
      </c>
      <c r="P139" t="str">
        <f t="shared" ref="P139:P202" si="24">CONCATENATE("cJSON_AddItemToObject(Uha, ","""",E139,"""",", cJSON_CreateNumber(mVars[",C139,"]));")</f>
        <v>cJSON_AddItemToObject(Uha, "VAR_CO2_RECU", cJSON_CreateNumber(mVars[137]));</v>
      </c>
    </row>
    <row r="140" spans="2:16">
      <c r="B140" s="40"/>
      <c r="C140" s="1">
        <v>138</v>
      </c>
      <c r="D140" s="1" t="str">
        <f t="shared" si="19"/>
        <v>008A</v>
      </c>
      <c r="E140" t="s">
        <v>304</v>
      </c>
      <c r="H140" t="str">
        <f t="shared" si="20"/>
        <v>#define  VAR_DP_RECU_F  138</v>
      </c>
      <c r="I140" t="str">
        <f t="shared" si="21"/>
        <v>public const byte VAR_DP_RECU_F = 138;</v>
      </c>
      <c r="L140" t="str">
        <f t="shared" si="13"/>
        <v>UpdateScanList(VAR_DP_RECU_F, 5000);</v>
      </c>
      <c r="N140" t="str">
        <f t="shared" si="22"/>
        <v>COM_AddStreamedVariable(VAR_DP_RECU_F, 1000);</v>
      </c>
      <c r="O140" t="str">
        <f t="shared" si="23"/>
        <v>cJSON_AddItemToObject(Uha, "VAR_DP_RECU_F", cJSON_CreateNumber(mVars[VAR_DP_RECU_F]));</v>
      </c>
      <c r="P140" t="str">
        <f t="shared" si="24"/>
        <v>cJSON_AddItemToObject(Uha, "VAR_DP_RECU_F", cJSON_CreateNumber(mVars[138]));</v>
      </c>
    </row>
    <row r="141" spans="2:16">
      <c r="B141" s="40"/>
      <c r="C141" s="1">
        <v>139</v>
      </c>
      <c r="D141" s="1" t="str">
        <f t="shared" si="19"/>
        <v>008B</v>
      </c>
      <c r="E141" t="s">
        <v>305</v>
      </c>
      <c r="H141" t="str">
        <f t="shared" si="20"/>
        <v>#define  VAR_DP_RECU_W  139</v>
      </c>
      <c r="I141" t="str">
        <f t="shared" si="21"/>
        <v>public const byte VAR_DP_RECU_W = 139;</v>
      </c>
      <c r="L141" t="str">
        <f t="shared" ref="L141:L204" si="25">CONCATENATE("UpdateScanList(",E141, ", 5000);")</f>
        <v>UpdateScanList(VAR_DP_RECU_W, 5000);</v>
      </c>
      <c r="N141" t="str">
        <f t="shared" si="22"/>
        <v>COM_AddStreamedVariable(VAR_DP_RECU_W, 1000);</v>
      </c>
      <c r="O141" t="str">
        <f t="shared" si="23"/>
        <v>cJSON_AddItemToObject(Uha, "VAR_DP_RECU_W", cJSON_CreateNumber(mVars[VAR_DP_RECU_W]));</v>
      </c>
      <c r="P141" t="str">
        <f t="shared" si="24"/>
        <v>cJSON_AddItemToObject(Uha, "VAR_DP_RECU_W", cJSON_CreateNumber(mVars[139]));</v>
      </c>
    </row>
    <row r="142" spans="2:16">
      <c r="B142" s="40"/>
      <c r="C142" s="1">
        <v>140</v>
      </c>
      <c r="D142" s="1" t="str">
        <f t="shared" si="19"/>
        <v>008C</v>
      </c>
      <c r="E142" t="s">
        <v>306</v>
      </c>
      <c r="H142" t="str">
        <f t="shared" si="20"/>
        <v>#define  VAR_RECU_FAN_F  140</v>
      </c>
      <c r="I142" t="str">
        <f t="shared" si="21"/>
        <v>public const byte VAR_RECU_FAN_F = 140;</v>
      </c>
      <c r="L142" t="str">
        <f t="shared" si="25"/>
        <v>UpdateScanList(VAR_RECU_FAN_F, 5000);</v>
      </c>
      <c r="N142" t="str">
        <f t="shared" si="22"/>
        <v>COM_AddStreamedVariable(VAR_RECU_FAN_F, 1000);</v>
      </c>
      <c r="O142" t="str">
        <f t="shared" si="23"/>
        <v>cJSON_AddItemToObject(Uha, "VAR_RECU_FAN_F", cJSON_CreateNumber(mVars[VAR_RECU_FAN_F]));</v>
      </c>
      <c r="P142" t="str">
        <f t="shared" si="24"/>
        <v>cJSON_AddItemToObject(Uha, "VAR_RECU_FAN_F", cJSON_CreateNumber(mVars[140]));</v>
      </c>
    </row>
    <row r="143" spans="2:16">
      <c r="B143" s="40"/>
      <c r="C143" s="1">
        <v>141</v>
      </c>
      <c r="D143" s="1" t="str">
        <f t="shared" si="19"/>
        <v>008D</v>
      </c>
      <c r="E143" t="s">
        <v>307</v>
      </c>
      <c r="H143" t="str">
        <f t="shared" si="20"/>
        <v>#define  VAR_RECU_FAN_W  141</v>
      </c>
      <c r="I143" t="str">
        <f t="shared" si="21"/>
        <v>public const byte VAR_RECU_FAN_W = 141;</v>
      </c>
      <c r="L143" t="str">
        <f t="shared" si="25"/>
        <v>UpdateScanList(VAR_RECU_FAN_W, 5000);</v>
      </c>
      <c r="N143" t="str">
        <f t="shared" si="22"/>
        <v>COM_AddStreamedVariable(VAR_RECU_FAN_W, 1000);</v>
      </c>
      <c r="O143" t="str">
        <f t="shared" si="23"/>
        <v>cJSON_AddItemToObject(Uha, "VAR_RECU_FAN_W", cJSON_CreateNumber(mVars[VAR_RECU_FAN_W]));</v>
      </c>
      <c r="P143" t="str">
        <f t="shared" si="24"/>
        <v>cJSON_AddItemToObject(Uha, "VAR_RECU_FAN_W", cJSON_CreateNumber(mVars[141]));</v>
      </c>
    </row>
    <row r="144" spans="2:16">
      <c r="B144" s="40"/>
      <c r="C144" s="1">
        <v>142</v>
      </c>
      <c r="D144" s="1" t="str">
        <f t="shared" si="19"/>
        <v>008E</v>
      </c>
      <c r="E144" t="s">
        <v>308</v>
      </c>
      <c r="H144" t="str">
        <f t="shared" si="20"/>
        <v>#define  VAR_CURR_RECU_A  142</v>
      </c>
      <c r="I144" t="str">
        <f t="shared" si="21"/>
        <v>public const byte VAR_CURR_RECU_A = 142;</v>
      </c>
      <c r="L144" t="str">
        <f t="shared" si="25"/>
        <v>UpdateScanList(VAR_CURR_RECU_A, 5000);</v>
      </c>
      <c r="N144" t="str">
        <f t="shared" si="22"/>
        <v>COM_AddStreamedVariable(VAR_CURR_RECU_A, 1000);</v>
      </c>
      <c r="O144" t="str">
        <f t="shared" si="23"/>
        <v>cJSON_AddItemToObject(Uha, "VAR_CURR_RECU_A", cJSON_CreateNumber(mVars[VAR_CURR_RECU_A]));</v>
      </c>
      <c r="P144" t="str">
        <f t="shared" si="24"/>
        <v>cJSON_AddItemToObject(Uha, "VAR_CURR_RECU_A", cJSON_CreateNumber(mVars[142]));</v>
      </c>
    </row>
    <row r="145" spans="2:16">
      <c r="B145" s="40"/>
      <c r="C145" s="1">
        <v>143</v>
      </c>
      <c r="D145" s="1" t="str">
        <f t="shared" si="19"/>
        <v>008F</v>
      </c>
      <c r="H145" t="str">
        <f t="shared" si="20"/>
        <v>#define    143</v>
      </c>
      <c r="I145" t="str">
        <f t="shared" si="21"/>
        <v>public const byte  = 143;</v>
      </c>
      <c r="L145" t="str">
        <f t="shared" si="25"/>
        <v>UpdateScanList(, 5000);</v>
      </c>
      <c r="N145" t="str">
        <f t="shared" si="22"/>
        <v>COM_AddStreamedVariable(, 1000);</v>
      </c>
      <c r="O145" t="str">
        <f t="shared" si="23"/>
        <v/>
      </c>
      <c r="P145" t="str">
        <f t="shared" si="24"/>
        <v>cJSON_AddItemToObject(Uha, "", cJSON_CreateNumber(mVars[143]));</v>
      </c>
    </row>
    <row r="146" spans="2:16">
      <c r="B146" s="40"/>
      <c r="C146" s="1">
        <v>144</v>
      </c>
      <c r="D146" s="1" t="str">
        <f t="shared" si="19"/>
        <v>0090</v>
      </c>
      <c r="E146" s="25" t="s">
        <v>347</v>
      </c>
      <c r="F146" t="s">
        <v>349</v>
      </c>
      <c r="H146" t="str">
        <f t="shared" si="20"/>
        <v>#define  VAR_TEMP_DILNA  144</v>
      </c>
      <c r="I146" t="str">
        <f t="shared" si="21"/>
        <v>public const byte VAR_TEMP_DILNA = 144;</v>
      </c>
      <c r="L146" t="str">
        <f t="shared" si="25"/>
        <v>UpdateScanList(VAR_TEMP_DILNA, 5000);</v>
      </c>
      <c r="N146" t="str">
        <f t="shared" si="22"/>
        <v>COM_AddStreamedVariable(VAR_TEMP_DILNA, 1000);</v>
      </c>
      <c r="O146" t="str">
        <f t="shared" si="23"/>
        <v>cJSON_AddItemToObject(Uha, "VAR_TEMP_DILNA", cJSON_CreateNumber(mVars[VAR_TEMP_DILNA]));</v>
      </c>
      <c r="P146" t="str">
        <f t="shared" si="24"/>
        <v>cJSON_AddItemToObject(Uha, "VAR_TEMP_DILNA", cJSON_CreateNumber(mVars[144]));</v>
      </c>
    </row>
    <row r="147" spans="2:16">
      <c r="B147" s="40"/>
      <c r="C147" s="1">
        <v>145</v>
      </c>
      <c r="D147" s="1" t="str">
        <f t="shared" si="19"/>
        <v>0091</v>
      </c>
      <c r="E147" s="25" t="s">
        <v>348</v>
      </c>
      <c r="F147" t="s">
        <v>350</v>
      </c>
      <c r="H147" t="str">
        <f t="shared" si="20"/>
        <v>#define  VAR_TEMP_AKUPACK1  145</v>
      </c>
      <c r="I147" t="str">
        <f t="shared" si="21"/>
        <v>public const byte VAR_TEMP_AKUPACK1 = 145;</v>
      </c>
      <c r="L147" t="str">
        <f t="shared" si="25"/>
        <v>UpdateScanList(VAR_TEMP_AKUPACK1, 5000);</v>
      </c>
      <c r="N147" t="str">
        <f t="shared" si="22"/>
        <v>COM_AddStreamedVariable(VAR_TEMP_AKUPACK1, 1000);</v>
      </c>
      <c r="O147" t="str">
        <f t="shared" si="23"/>
        <v>cJSON_AddItemToObject(Uha, "VAR_TEMP_AKUPACK1", cJSON_CreateNumber(mVars[VAR_TEMP_AKUPACK1]));</v>
      </c>
      <c r="P147" t="str">
        <f t="shared" si="24"/>
        <v>cJSON_AddItemToObject(Uha, "VAR_TEMP_AKUPACK1", cJSON_CreateNumber(mVars[145]));</v>
      </c>
    </row>
    <row r="148" spans="2:16">
      <c r="B148" s="40"/>
      <c r="C148" s="1">
        <v>146</v>
      </c>
      <c r="D148" s="1" t="str">
        <f t="shared" si="19"/>
        <v>0092</v>
      </c>
      <c r="E148" s="25" t="s">
        <v>352</v>
      </c>
      <c r="F148" t="s">
        <v>351</v>
      </c>
      <c r="H148" t="str">
        <f t="shared" si="20"/>
        <v>#define  VAR_TEMP_BOARD_ELECON_D  146</v>
      </c>
      <c r="I148" t="str">
        <f t="shared" si="21"/>
        <v>public const byte VAR_TEMP_BOARD_ELECON_D = 146;</v>
      </c>
      <c r="L148" t="str">
        <f t="shared" si="25"/>
        <v>UpdateScanList(VAR_TEMP_BOARD_ELECON_D, 5000);</v>
      </c>
      <c r="N148" t="str">
        <f t="shared" si="22"/>
        <v>COM_AddStreamedVariable(VAR_TEMP_BOARD_ELECON_D, 1000);</v>
      </c>
      <c r="O148" t="str">
        <f t="shared" si="23"/>
        <v>cJSON_AddItemToObject(Uha, "VAR_TEMP_BOARD_ELECON_D", cJSON_CreateNumber(mVars[VAR_TEMP_BOARD_ELECON_D]));</v>
      </c>
      <c r="P148" t="str">
        <f t="shared" si="24"/>
        <v>cJSON_AddItemToObject(Uha, "VAR_TEMP_BOARD_ELECON_D", cJSON_CreateNumber(mVars[146]));</v>
      </c>
    </row>
    <row r="149" spans="2:16">
      <c r="B149" s="40"/>
      <c r="C149" s="1">
        <v>147</v>
      </c>
      <c r="D149" s="1" t="str">
        <f t="shared" si="19"/>
        <v>0093</v>
      </c>
      <c r="H149" t="str">
        <f t="shared" si="20"/>
        <v>#define    147</v>
      </c>
      <c r="I149" t="str">
        <f t="shared" si="21"/>
        <v>public const byte  = 147;</v>
      </c>
      <c r="L149" t="str">
        <f t="shared" si="25"/>
        <v>UpdateScanList(, 5000);</v>
      </c>
      <c r="N149" t="str">
        <f t="shared" si="22"/>
        <v>COM_AddStreamedVariable(, 1000);</v>
      </c>
      <c r="O149" t="str">
        <f t="shared" si="23"/>
        <v/>
      </c>
      <c r="P149" t="str">
        <f t="shared" si="24"/>
        <v>cJSON_AddItemToObject(Uha, "", cJSON_CreateNumber(mVars[147]));</v>
      </c>
    </row>
    <row r="150" spans="2:16">
      <c r="B150" s="40"/>
      <c r="C150" s="1">
        <v>148</v>
      </c>
      <c r="D150" s="1" t="str">
        <f t="shared" si="19"/>
        <v>0094</v>
      </c>
      <c r="H150" t="str">
        <f t="shared" si="20"/>
        <v>#define    148</v>
      </c>
      <c r="I150" t="str">
        <f t="shared" si="21"/>
        <v>public const byte  = 148;</v>
      </c>
      <c r="L150" t="str">
        <f t="shared" si="25"/>
        <v>UpdateScanList(, 5000);</v>
      </c>
      <c r="N150" t="str">
        <f t="shared" si="22"/>
        <v>COM_AddStreamedVariable(, 1000);</v>
      </c>
      <c r="O150" t="str">
        <f t="shared" si="23"/>
        <v/>
      </c>
      <c r="P150" t="str">
        <f t="shared" si="24"/>
        <v>cJSON_AddItemToObject(Uha, "", cJSON_CreateNumber(mVars[148]));</v>
      </c>
    </row>
    <row r="151" spans="2:16">
      <c r="B151" s="40"/>
      <c r="C151" s="1">
        <v>149</v>
      </c>
      <c r="D151" s="1" t="str">
        <f t="shared" si="19"/>
        <v>0095</v>
      </c>
      <c r="H151" t="str">
        <f t="shared" si="20"/>
        <v>#define    149</v>
      </c>
      <c r="I151" t="str">
        <f t="shared" si="21"/>
        <v>public const byte  = 149;</v>
      </c>
      <c r="L151" t="str">
        <f t="shared" si="25"/>
        <v>UpdateScanList(, 5000);</v>
      </c>
      <c r="N151" t="str">
        <f t="shared" si="22"/>
        <v>COM_AddStreamedVariable(, 1000);</v>
      </c>
      <c r="O151" t="str">
        <f t="shared" si="23"/>
        <v/>
      </c>
      <c r="P151" t="str">
        <f t="shared" si="24"/>
        <v>cJSON_AddItemToObject(Uha, "", cJSON_CreateNumber(mVars[149]));</v>
      </c>
    </row>
    <row r="152" spans="2:16">
      <c r="B152" s="40"/>
      <c r="C152" s="1">
        <v>150</v>
      </c>
      <c r="D152" s="1" t="str">
        <f t="shared" si="19"/>
        <v>0096</v>
      </c>
      <c r="H152" t="str">
        <f t="shared" si="20"/>
        <v>#define    150</v>
      </c>
      <c r="I152" t="str">
        <f t="shared" si="21"/>
        <v>public const byte  = 150;</v>
      </c>
      <c r="L152" t="str">
        <f t="shared" si="25"/>
        <v>UpdateScanList(, 5000);</v>
      </c>
      <c r="N152" t="str">
        <f t="shared" si="22"/>
        <v>COM_AddStreamedVariable(, 1000);</v>
      </c>
      <c r="O152" t="str">
        <f t="shared" si="23"/>
        <v/>
      </c>
      <c r="P152" t="str">
        <f t="shared" si="24"/>
        <v>cJSON_AddItemToObject(Uha, "", cJSON_CreateNumber(mVars[150]));</v>
      </c>
    </row>
    <row r="153" spans="2:16">
      <c r="B153" s="40"/>
      <c r="C153" s="1">
        <v>151</v>
      </c>
      <c r="D153" s="1" t="str">
        <f t="shared" si="19"/>
        <v>0097</v>
      </c>
      <c r="H153" t="str">
        <f t="shared" si="20"/>
        <v>#define    151</v>
      </c>
      <c r="I153" t="str">
        <f t="shared" si="21"/>
        <v>public const byte  = 151;</v>
      </c>
      <c r="L153" t="str">
        <f t="shared" si="25"/>
        <v>UpdateScanList(, 5000);</v>
      </c>
      <c r="N153" t="str">
        <f t="shared" si="22"/>
        <v>COM_AddStreamedVariable(, 1000);</v>
      </c>
      <c r="O153" t="str">
        <f t="shared" si="23"/>
        <v/>
      </c>
      <c r="P153" t="str">
        <f t="shared" si="24"/>
        <v>cJSON_AddItemToObject(Uha, "", cJSON_CreateNumber(mVars[151]));</v>
      </c>
    </row>
    <row r="154" spans="2:16">
      <c r="B154" s="40"/>
      <c r="C154" s="1">
        <v>152</v>
      </c>
      <c r="D154" s="1" t="str">
        <f t="shared" si="19"/>
        <v>0098</v>
      </c>
      <c r="H154" t="str">
        <f t="shared" si="20"/>
        <v>#define    152</v>
      </c>
      <c r="I154" t="str">
        <f t="shared" si="21"/>
        <v>public const byte  = 152;</v>
      </c>
      <c r="L154" t="str">
        <f t="shared" si="25"/>
        <v>UpdateScanList(, 5000);</v>
      </c>
      <c r="N154" t="str">
        <f t="shared" si="22"/>
        <v>COM_AddStreamedVariable(, 1000);</v>
      </c>
      <c r="O154" t="str">
        <f t="shared" si="23"/>
        <v/>
      </c>
      <c r="P154" t="str">
        <f t="shared" si="24"/>
        <v>cJSON_AddItemToObject(Uha, "", cJSON_CreateNumber(mVars[152]));</v>
      </c>
    </row>
    <row r="155" spans="2:16">
      <c r="B155" s="40"/>
      <c r="C155" s="1">
        <v>153</v>
      </c>
      <c r="D155" s="1" t="str">
        <f t="shared" si="19"/>
        <v>0099</v>
      </c>
      <c r="H155" t="str">
        <f t="shared" si="20"/>
        <v>#define    153</v>
      </c>
      <c r="I155" t="str">
        <f t="shared" si="21"/>
        <v>public const byte  = 153;</v>
      </c>
      <c r="L155" t="str">
        <f t="shared" si="25"/>
        <v>UpdateScanList(, 5000);</v>
      </c>
      <c r="N155" t="str">
        <f t="shared" si="22"/>
        <v>COM_AddStreamedVariable(, 1000);</v>
      </c>
      <c r="O155" t="str">
        <f t="shared" si="23"/>
        <v/>
      </c>
      <c r="P155" t="str">
        <f t="shared" si="24"/>
        <v>cJSON_AddItemToObject(Uha, "", cJSON_CreateNumber(mVars[153]));</v>
      </c>
    </row>
    <row r="156" spans="2:16">
      <c r="B156" s="40"/>
      <c r="C156" s="1">
        <v>154</v>
      </c>
      <c r="D156" s="1" t="str">
        <f t="shared" si="19"/>
        <v>009A</v>
      </c>
      <c r="H156" t="str">
        <f t="shared" si="20"/>
        <v>#define    154</v>
      </c>
      <c r="I156" t="str">
        <f t="shared" si="21"/>
        <v>public const byte  = 154;</v>
      </c>
      <c r="L156" t="str">
        <f t="shared" si="25"/>
        <v>UpdateScanList(, 5000);</v>
      </c>
      <c r="N156" t="str">
        <f t="shared" si="22"/>
        <v>COM_AddStreamedVariable(, 1000);</v>
      </c>
      <c r="O156" t="str">
        <f t="shared" si="23"/>
        <v/>
      </c>
      <c r="P156" t="str">
        <f t="shared" si="24"/>
        <v>cJSON_AddItemToObject(Uha, "", cJSON_CreateNumber(mVars[154]));</v>
      </c>
    </row>
    <row r="157" spans="2:16">
      <c r="B157" s="40"/>
      <c r="C157" s="1">
        <v>155</v>
      </c>
      <c r="D157" s="1" t="str">
        <f t="shared" si="19"/>
        <v>009B</v>
      </c>
      <c r="H157" t="str">
        <f t="shared" si="20"/>
        <v>#define    155</v>
      </c>
      <c r="I157" t="str">
        <f t="shared" si="21"/>
        <v>public const byte  = 155;</v>
      </c>
      <c r="L157" t="str">
        <f t="shared" si="25"/>
        <v>UpdateScanList(, 5000);</v>
      </c>
      <c r="N157" t="str">
        <f t="shared" si="22"/>
        <v>COM_AddStreamedVariable(, 1000);</v>
      </c>
      <c r="O157" t="str">
        <f t="shared" si="23"/>
        <v/>
      </c>
      <c r="P157" t="str">
        <f t="shared" si="24"/>
        <v>cJSON_AddItemToObject(Uha, "", cJSON_CreateNumber(mVars[155]));</v>
      </c>
    </row>
    <row r="158" spans="2:16">
      <c r="B158" s="40"/>
      <c r="C158" s="1">
        <v>156</v>
      </c>
      <c r="D158" s="1" t="str">
        <f t="shared" si="19"/>
        <v>009C</v>
      </c>
      <c r="H158" t="str">
        <f t="shared" si="20"/>
        <v>#define    156</v>
      </c>
      <c r="I158" t="str">
        <f t="shared" si="21"/>
        <v>public const byte  = 156;</v>
      </c>
      <c r="L158" t="str">
        <f t="shared" si="25"/>
        <v>UpdateScanList(, 5000);</v>
      </c>
      <c r="N158" t="str">
        <f t="shared" si="22"/>
        <v>COM_AddStreamedVariable(, 1000);</v>
      </c>
      <c r="O158" t="str">
        <f t="shared" si="23"/>
        <v/>
      </c>
      <c r="P158" t="str">
        <f t="shared" si="24"/>
        <v>cJSON_AddItemToObject(Uha, "", cJSON_CreateNumber(mVars[156]));</v>
      </c>
    </row>
    <row r="159" spans="2:16">
      <c r="B159" s="40"/>
      <c r="C159" s="1">
        <v>157</v>
      </c>
      <c r="D159" s="1" t="str">
        <f t="shared" si="19"/>
        <v>009D</v>
      </c>
      <c r="H159" t="str">
        <f t="shared" si="20"/>
        <v>#define    157</v>
      </c>
      <c r="I159" t="str">
        <f t="shared" si="21"/>
        <v>public const byte  = 157;</v>
      </c>
      <c r="L159" t="str">
        <f t="shared" si="25"/>
        <v>UpdateScanList(, 5000);</v>
      </c>
      <c r="N159" t="str">
        <f t="shared" si="22"/>
        <v>COM_AddStreamedVariable(, 1000);</v>
      </c>
      <c r="O159" t="str">
        <f t="shared" si="23"/>
        <v/>
      </c>
      <c r="P159" t="str">
        <f t="shared" si="24"/>
        <v>cJSON_AddItemToObject(Uha, "", cJSON_CreateNumber(mVars[157]));</v>
      </c>
    </row>
    <row r="160" spans="2:16">
      <c r="B160" s="40"/>
      <c r="C160" s="1">
        <v>158</v>
      </c>
      <c r="D160" s="1" t="str">
        <f t="shared" si="19"/>
        <v>009E</v>
      </c>
      <c r="H160" t="str">
        <f t="shared" si="20"/>
        <v>#define    158</v>
      </c>
      <c r="I160" t="str">
        <f t="shared" si="21"/>
        <v>public const byte  = 158;</v>
      </c>
      <c r="L160" t="str">
        <f t="shared" si="25"/>
        <v>UpdateScanList(, 5000);</v>
      </c>
      <c r="N160" t="str">
        <f t="shared" si="22"/>
        <v>COM_AddStreamedVariable(, 1000);</v>
      </c>
      <c r="O160" t="str">
        <f t="shared" si="23"/>
        <v/>
      </c>
      <c r="P160" t="str">
        <f t="shared" si="24"/>
        <v>cJSON_AddItemToObject(Uha, "", cJSON_CreateNumber(mVars[158]));</v>
      </c>
    </row>
    <row r="161" spans="2:16">
      <c r="B161" s="40"/>
      <c r="C161" s="1">
        <v>159</v>
      </c>
      <c r="D161" s="1" t="str">
        <f t="shared" si="19"/>
        <v>009F</v>
      </c>
      <c r="H161" t="str">
        <f t="shared" si="20"/>
        <v>#define    159</v>
      </c>
      <c r="I161" t="str">
        <f t="shared" si="21"/>
        <v>public const byte  = 159;</v>
      </c>
      <c r="L161" t="str">
        <f t="shared" si="25"/>
        <v>UpdateScanList(, 5000);</v>
      </c>
      <c r="N161" t="str">
        <f t="shared" si="22"/>
        <v>COM_AddStreamedVariable(, 1000);</v>
      </c>
      <c r="O161" t="str">
        <f t="shared" si="23"/>
        <v/>
      </c>
      <c r="P161" t="str">
        <f t="shared" si="24"/>
        <v>cJSON_AddItemToObject(Uha, "", cJSON_CreateNumber(mVars[159]));</v>
      </c>
    </row>
    <row r="162" spans="2:16">
      <c r="B162" s="40"/>
      <c r="C162" s="1">
        <v>160</v>
      </c>
      <c r="D162" s="1" t="str">
        <f t="shared" si="19"/>
        <v>00A0</v>
      </c>
      <c r="H162" t="str">
        <f t="shared" si="20"/>
        <v>#define    160</v>
      </c>
      <c r="I162" t="str">
        <f t="shared" si="21"/>
        <v>public const byte  = 160;</v>
      </c>
      <c r="L162" t="str">
        <f t="shared" si="25"/>
        <v>UpdateScanList(, 5000);</v>
      </c>
      <c r="N162" t="str">
        <f t="shared" si="22"/>
        <v>COM_AddStreamedVariable(, 1000);</v>
      </c>
      <c r="O162" t="str">
        <f t="shared" si="23"/>
        <v/>
      </c>
      <c r="P162" t="str">
        <f t="shared" si="24"/>
        <v>cJSON_AddItemToObject(Uha, "", cJSON_CreateNumber(mVars[160]));</v>
      </c>
    </row>
    <row r="163" spans="2:16">
      <c r="C163" s="1">
        <v>161</v>
      </c>
      <c r="D163" s="1" t="str">
        <f t="shared" si="19"/>
        <v>00A1</v>
      </c>
      <c r="E163" t="s">
        <v>291</v>
      </c>
      <c r="H163" t="str">
        <f t="shared" si="20"/>
        <v>#define  VAR_METEO_WIND_BURST  161</v>
      </c>
      <c r="I163" t="str">
        <f t="shared" si="21"/>
        <v>public const byte VAR_METEO_WIND_BURST = 161;</v>
      </c>
      <c r="L163" t="str">
        <f t="shared" si="25"/>
        <v>UpdateScanList(VAR_METEO_WIND_BURST, 5000);</v>
      </c>
      <c r="N163" t="str">
        <f t="shared" si="22"/>
        <v>COM_AddStreamedVariable(VAR_METEO_WIND_BURST, 1000);</v>
      </c>
      <c r="O163" t="str">
        <f t="shared" si="23"/>
        <v>cJSON_AddItemToObject(Uha, "VAR_METEO_WIND_BURST", cJSON_CreateNumber(mVars[VAR_METEO_WIND_BURST]));</v>
      </c>
      <c r="P163" t="str">
        <f t="shared" si="24"/>
        <v>cJSON_AddItemToObject(Uha, "VAR_METEO_WIND_BURST", cJSON_CreateNumber(mVars[161]));</v>
      </c>
    </row>
    <row r="164" spans="2:16">
      <c r="C164" s="1">
        <v>162</v>
      </c>
      <c r="D164" s="1" t="str">
        <f t="shared" si="19"/>
        <v>00A2</v>
      </c>
      <c r="E164" t="s">
        <v>292</v>
      </c>
      <c r="H164" t="str">
        <f t="shared" si="20"/>
        <v>#define  VAR_METEO_WIND_AVG  162</v>
      </c>
      <c r="I164" t="str">
        <f t="shared" si="21"/>
        <v>public const byte VAR_METEO_WIND_AVG = 162;</v>
      </c>
      <c r="L164" t="str">
        <f t="shared" si="25"/>
        <v>UpdateScanList(VAR_METEO_WIND_AVG, 5000);</v>
      </c>
      <c r="N164" t="str">
        <f t="shared" si="22"/>
        <v>COM_AddStreamedVariable(VAR_METEO_WIND_AVG, 1000);</v>
      </c>
      <c r="O164" t="str">
        <f t="shared" si="23"/>
        <v>cJSON_AddItemToObject(Uha, "VAR_METEO_WIND_AVG", cJSON_CreateNumber(mVars[VAR_METEO_WIND_AVG]));</v>
      </c>
      <c r="P164" t="str">
        <f t="shared" si="24"/>
        <v>cJSON_AddItemToObject(Uha, "VAR_METEO_WIND_AVG", cJSON_CreateNumber(mVars[162]));</v>
      </c>
    </row>
    <row r="165" spans="2:16">
      <c r="C165" s="1">
        <v>163</v>
      </c>
      <c r="D165" s="1" t="str">
        <f t="shared" si="19"/>
        <v>00A3</v>
      </c>
      <c r="E165" t="s">
        <v>293</v>
      </c>
      <c r="H165" t="str">
        <f t="shared" si="20"/>
        <v>#define  VAR_METEO_WIND_POW  163</v>
      </c>
      <c r="I165" t="str">
        <f t="shared" si="21"/>
        <v>public const byte VAR_METEO_WIND_POW = 163;</v>
      </c>
      <c r="L165" t="str">
        <f t="shared" si="25"/>
        <v>UpdateScanList(VAR_METEO_WIND_POW, 5000);</v>
      </c>
      <c r="N165" t="str">
        <f t="shared" si="22"/>
        <v>COM_AddStreamedVariable(VAR_METEO_WIND_POW, 1000);</v>
      </c>
      <c r="O165" t="str">
        <f t="shared" si="23"/>
        <v>cJSON_AddItemToObject(Uha, "VAR_METEO_WIND_POW", cJSON_CreateNumber(mVars[VAR_METEO_WIND_POW]));</v>
      </c>
      <c r="P165" t="str">
        <f t="shared" si="24"/>
        <v>cJSON_AddItemToObject(Uha, "VAR_METEO_WIND_POW", cJSON_CreateNumber(mVars[163]));</v>
      </c>
    </row>
    <row r="166" spans="2:16">
      <c r="C166" s="1">
        <v>164</v>
      </c>
      <c r="D166" s="1" t="str">
        <f t="shared" si="19"/>
        <v>00A4</v>
      </c>
      <c r="E166" t="s">
        <v>294</v>
      </c>
      <c r="H166" t="str">
        <f t="shared" si="20"/>
        <v>#define  VAR_METEO_WIND_ENERGY  164</v>
      </c>
      <c r="I166" t="str">
        <f t="shared" si="21"/>
        <v>public const byte VAR_METEO_WIND_ENERGY = 164;</v>
      </c>
      <c r="L166" t="str">
        <f t="shared" si="25"/>
        <v>UpdateScanList(VAR_METEO_WIND_ENERGY, 5000);</v>
      </c>
      <c r="N166" t="str">
        <f t="shared" si="22"/>
        <v>COM_AddStreamedVariable(VAR_METEO_WIND_ENERGY, 1000);</v>
      </c>
      <c r="O166" t="str">
        <f t="shared" si="23"/>
        <v>cJSON_AddItemToObject(Uha, "VAR_METEO_WIND_ENERGY", cJSON_CreateNumber(mVars[VAR_METEO_WIND_ENERGY]));</v>
      </c>
      <c r="P166" t="str">
        <f t="shared" si="24"/>
        <v>cJSON_AddItemToObject(Uha, "VAR_METEO_WIND_ENERGY", cJSON_CreateNumber(mVars[164]));</v>
      </c>
    </row>
    <row r="167" spans="2:16">
      <c r="C167" s="1">
        <v>165</v>
      </c>
      <c r="D167" s="1" t="str">
        <f t="shared" si="19"/>
        <v>00A5</v>
      </c>
      <c r="H167" t="str">
        <f t="shared" si="20"/>
        <v>#define    165</v>
      </c>
      <c r="I167" t="str">
        <f t="shared" si="21"/>
        <v>public const byte  = 165;</v>
      </c>
      <c r="L167" t="str">
        <f t="shared" si="25"/>
        <v>UpdateScanList(, 5000);</v>
      </c>
      <c r="N167" t="str">
        <f t="shared" si="22"/>
        <v>COM_AddStreamedVariable(, 1000);</v>
      </c>
      <c r="O167" t="str">
        <f t="shared" si="23"/>
        <v/>
      </c>
      <c r="P167" t="str">
        <f t="shared" si="24"/>
        <v>cJSON_AddItemToObject(Uha, "", cJSON_CreateNumber(mVars[165]));</v>
      </c>
    </row>
    <row r="168" spans="2:16">
      <c r="C168" s="1">
        <v>166</v>
      </c>
      <c r="D168" s="1" t="str">
        <f t="shared" si="19"/>
        <v>00A6</v>
      </c>
      <c r="H168" t="str">
        <f t="shared" si="20"/>
        <v>#define    166</v>
      </c>
      <c r="I168" t="str">
        <f t="shared" si="21"/>
        <v>public const byte  = 166;</v>
      </c>
      <c r="L168" t="str">
        <f t="shared" si="25"/>
        <v>UpdateScanList(, 5000);</v>
      </c>
      <c r="N168" t="str">
        <f t="shared" si="22"/>
        <v>COM_AddStreamedVariable(, 1000);</v>
      </c>
      <c r="O168" t="str">
        <f t="shared" si="23"/>
        <v/>
      </c>
      <c r="P168" t="str">
        <f t="shared" si="24"/>
        <v>cJSON_AddItemToObject(Uha, "", cJSON_CreateNumber(mVars[166]));</v>
      </c>
    </row>
    <row r="169" spans="2:16">
      <c r="C169" s="1">
        <v>167</v>
      </c>
      <c r="D169" s="1" t="str">
        <f t="shared" si="19"/>
        <v>00A7</v>
      </c>
      <c r="H169" t="str">
        <f t="shared" si="20"/>
        <v>#define    167</v>
      </c>
      <c r="I169" t="str">
        <f t="shared" si="21"/>
        <v>public const byte  = 167;</v>
      </c>
      <c r="L169" t="str">
        <f t="shared" si="25"/>
        <v>UpdateScanList(, 5000);</v>
      </c>
      <c r="N169" t="str">
        <f t="shared" si="22"/>
        <v>COM_AddStreamedVariable(, 1000);</v>
      </c>
      <c r="O169" t="str">
        <f t="shared" si="23"/>
        <v/>
      </c>
      <c r="P169" t="str">
        <f t="shared" si="24"/>
        <v>cJSON_AddItemToObject(Uha, "", cJSON_CreateNumber(mVars[167]));</v>
      </c>
    </row>
    <row r="170" spans="2:16">
      <c r="C170" s="1">
        <v>168</v>
      </c>
      <c r="D170" s="1" t="str">
        <f t="shared" si="19"/>
        <v>00A8</v>
      </c>
      <c r="H170" t="str">
        <f t="shared" si="20"/>
        <v>#define    168</v>
      </c>
      <c r="I170" t="str">
        <f t="shared" si="21"/>
        <v>public const byte  = 168;</v>
      </c>
      <c r="L170" t="str">
        <f t="shared" si="25"/>
        <v>UpdateScanList(, 5000);</v>
      </c>
      <c r="N170" t="str">
        <f t="shared" si="22"/>
        <v>COM_AddStreamedVariable(, 1000);</v>
      </c>
      <c r="O170" t="str">
        <f t="shared" si="23"/>
        <v/>
      </c>
      <c r="P170" t="str">
        <f t="shared" si="24"/>
        <v>cJSON_AddItemToObject(Uha, "", cJSON_CreateNumber(mVars[168]));</v>
      </c>
    </row>
    <row r="171" spans="2:16">
      <c r="C171" s="1">
        <v>169</v>
      </c>
      <c r="D171" s="1" t="str">
        <f t="shared" si="19"/>
        <v>00A9</v>
      </c>
      <c r="H171" t="str">
        <f t="shared" si="20"/>
        <v>#define    169</v>
      </c>
      <c r="I171" t="str">
        <f t="shared" si="21"/>
        <v>public const byte  = 169;</v>
      </c>
      <c r="L171" t="str">
        <f t="shared" si="25"/>
        <v>UpdateScanList(, 5000);</v>
      </c>
      <c r="N171" t="str">
        <f t="shared" si="22"/>
        <v>COM_AddStreamedVariable(, 1000);</v>
      </c>
      <c r="O171" t="str">
        <f t="shared" si="23"/>
        <v/>
      </c>
      <c r="P171" t="str">
        <f t="shared" si="24"/>
        <v>cJSON_AddItemToObject(Uha, "", cJSON_CreateNumber(mVars[169]));</v>
      </c>
    </row>
    <row r="172" spans="2:16">
      <c r="C172" s="1">
        <v>170</v>
      </c>
      <c r="D172" s="1" t="str">
        <f t="shared" si="19"/>
        <v>00AA</v>
      </c>
      <c r="H172" t="str">
        <f t="shared" si="20"/>
        <v>#define    170</v>
      </c>
      <c r="I172" t="str">
        <f t="shared" si="21"/>
        <v>public const byte  = 170;</v>
      </c>
      <c r="L172" t="str">
        <f t="shared" si="25"/>
        <v>UpdateScanList(, 5000);</v>
      </c>
      <c r="N172" t="str">
        <f t="shared" si="22"/>
        <v>COM_AddStreamedVariable(, 1000);</v>
      </c>
      <c r="O172" t="str">
        <f t="shared" si="23"/>
        <v/>
      </c>
      <c r="P172" t="str">
        <f t="shared" si="24"/>
        <v>cJSON_AddItemToObject(Uha, "", cJSON_CreateNumber(mVars[170]));</v>
      </c>
    </row>
    <row r="173" spans="2:16">
      <c r="C173" s="1">
        <v>171</v>
      </c>
      <c r="D173" s="1" t="str">
        <f t="shared" si="19"/>
        <v>00AB</v>
      </c>
      <c r="H173" t="str">
        <f t="shared" si="20"/>
        <v>#define    171</v>
      </c>
      <c r="I173" t="str">
        <f t="shared" si="21"/>
        <v>public const byte  = 171;</v>
      </c>
      <c r="L173" t="str">
        <f t="shared" si="25"/>
        <v>UpdateScanList(, 5000);</v>
      </c>
      <c r="N173" t="str">
        <f t="shared" si="22"/>
        <v>COM_AddStreamedVariable(, 1000);</v>
      </c>
      <c r="O173" t="str">
        <f t="shared" si="23"/>
        <v/>
      </c>
      <c r="P173" t="str">
        <f t="shared" si="24"/>
        <v>cJSON_AddItemToObject(Uha, "", cJSON_CreateNumber(mVars[171]));</v>
      </c>
    </row>
    <row r="174" spans="2:16">
      <c r="C174" s="1">
        <v>172</v>
      </c>
      <c r="D174" s="1" t="str">
        <f t="shared" si="19"/>
        <v>00AC</v>
      </c>
      <c r="H174" t="str">
        <f t="shared" si="20"/>
        <v>#define    172</v>
      </c>
      <c r="I174" t="str">
        <f t="shared" si="21"/>
        <v>public const byte  = 172;</v>
      </c>
      <c r="L174" t="str">
        <f t="shared" si="25"/>
        <v>UpdateScanList(, 5000);</v>
      </c>
      <c r="N174" t="str">
        <f t="shared" si="22"/>
        <v>COM_AddStreamedVariable(, 1000);</v>
      </c>
      <c r="O174" t="str">
        <f t="shared" si="23"/>
        <v/>
      </c>
      <c r="P174" t="str">
        <f t="shared" si="24"/>
        <v>cJSON_AddItemToObject(Uha, "", cJSON_CreateNumber(mVars[172]));</v>
      </c>
    </row>
    <row r="175" spans="2:16">
      <c r="C175" s="1">
        <v>173</v>
      </c>
      <c r="D175" s="1" t="str">
        <f t="shared" si="19"/>
        <v>00AD</v>
      </c>
      <c r="H175" t="str">
        <f t="shared" si="20"/>
        <v>#define    173</v>
      </c>
      <c r="I175" t="str">
        <f t="shared" si="21"/>
        <v>public const byte  = 173;</v>
      </c>
      <c r="L175" t="str">
        <f t="shared" si="25"/>
        <v>UpdateScanList(, 5000);</v>
      </c>
      <c r="N175" t="str">
        <f t="shared" si="22"/>
        <v>COM_AddStreamedVariable(, 1000);</v>
      </c>
      <c r="O175" t="str">
        <f t="shared" si="23"/>
        <v/>
      </c>
      <c r="P175" t="str">
        <f t="shared" si="24"/>
        <v>cJSON_AddItemToObject(Uha, "", cJSON_CreateNumber(mVars[173]));</v>
      </c>
    </row>
    <row r="176" spans="2:16">
      <c r="C176" s="1">
        <v>174</v>
      </c>
      <c r="D176" s="1" t="str">
        <f t="shared" si="19"/>
        <v>00AE</v>
      </c>
      <c r="H176" t="str">
        <f t="shared" si="20"/>
        <v>#define    174</v>
      </c>
      <c r="I176" t="str">
        <f t="shared" si="21"/>
        <v>public const byte  = 174;</v>
      </c>
      <c r="L176" t="str">
        <f t="shared" si="25"/>
        <v>UpdateScanList(, 5000);</v>
      </c>
      <c r="N176" t="str">
        <f t="shared" si="22"/>
        <v>COM_AddStreamedVariable(, 1000);</v>
      </c>
      <c r="O176" t="str">
        <f t="shared" si="23"/>
        <v/>
      </c>
      <c r="P176" t="str">
        <f t="shared" si="24"/>
        <v>cJSON_AddItemToObject(Uha, "", cJSON_CreateNumber(mVars[174]));</v>
      </c>
    </row>
    <row r="177" spans="3:16">
      <c r="C177" s="1">
        <v>175</v>
      </c>
      <c r="D177" s="1" t="str">
        <f t="shared" si="19"/>
        <v>00AF</v>
      </c>
      <c r="H177" t="str">
        <f t="shared" si="20"/>
        <v>#define    175</v>
      </c>
      <c r="I177" t="str">
        <f t="shared" si="21"/>
        <v>public const byte  = 175;</v>
      </c>
      <c r="L177" t="str">
        <f t="shared" si="25"/>
        <v>UpdateScanList(, 5000);</v>
      </c>
      <c r="N177" t="str">
        <f t="shared" si="22"/>
        <v>COM_AddStreamedVariable(, 1000);</v>
      </c>
      <c r="O177" t="str">
        <f t="shared" si="23"/>
        <v/>
      </c>
      <c r="P177" t="str">
        <f t="shared" si="24"/>
        <v>cJSON_AddItemToObject(Uha, "", cJSON_CreateNumber(mVars[175]));</v>
      </c>
    </row>
    <row r="178" spans="3:16">
      <c r="C178" s="1">
        <v>176</v>
      </c>
      <c r="D178" s="1" t="str">
        <f t="shared" si="19"/>
        <v>00B0</v>
      </c>
      <c r="H178" t="str">
        <f t="shared" si="20"/>
        <v>#define    176</v>
      </c>
      <c r="I178" t="str">
        <f t="shared" si="21"/>
        <v>public const byte  = 176;</v>
      </c>
      <c r="L178" t="str">
        <f t="shared" si="25"/>
        <v>UpdateScanList(, 5000);</v>
      </c>
      <c r="N178" t="str">
        <f t="shared" si="22"/>
        <v>COM_AddStreamedVariable(, 1000);</v>
      </c>
      <c r="O178" t="str">
        <f t="shared" si="23"/>
        <v/>
      </c>
      <c r="P178" t="str">
        <f t="shared" si="24"/>
        <v>cJSON_AddItemToObject(Uha, "", cJSON_CreateNumber(mVars[176]));</v>
      </c>
    </row>
    <row r="179" spans="3:16">
      <c r="C179" s="1">
        <v>177</v>
      </c>
      <c r="D179" s="1" t="str">
        <f t="shared" si="19"/>
        <v>00B1</v>
      </c>
      <c r="H179" t="str">
        <f t="shared" si="20"/>
        <v>#define    177</v>
      </c>
      <c r="I179" t="str">
        <f t="shared" si="21"/>
        <v>public const byte  = 177;</v>
      </c>
      <c r="L179" t="str">
        <f t="shared" si="25"/>
        <v>UpdateScanList(, 5000);</v>
      </c>
      <c r="N179" t="str">
        <f t="shared" si="22"/>
        <v>COM_AddStreamedVariable(, 1000);</v>
      </c>
      <c r="O179" t="str">
        <f t="shared" si="23"/>
        <v/>
      </c>
      <c r="P179" t="str">
        <f t="shared" si="24"/>
        <v>cJSON_AddItemToObject(Uha, "", cJSON_CreateNumber(mVars[177]));</v>
      </c>
    </row>
    <row r="180" spans="3:16">
      <c r="C180" s="1">
        <v>178</v>
      </c>
      <c r="D180" s="1" t="str">
        <f t="shared" si="19"/>
        <v>00B2</v>
      </c>
      <c r="H180" t="str">
        <f t="shared" si="20"/>
        <v>#define    178</v>
      </c>
      <c r="I180" t="str">
        <f t="shared" si="21"/>
        <v>public const byte  = 178;</v>
      </c>
      <c r="L180" t="str">
        <f t="shared" si="25"/>
        <v>UpdateScanList(, 5000);</v>
      </c>
      <c r="N180" t="str">
        <f t="shared" si="22"/>
        <v>COM_AddStreamedVariable(, 1000);</v>
      </c>
      <c r="O180" t="str">
        <f t="shared" si="23"/>
        <v/>
      </c>
      <c r="P180" t="str">
        <f t="shared" si="24"/>
        <v>cJSON_AddItemToObject(Uha, "", cJSON_CreateNumber(mVars[178]));</v>
      </c>
    </row>
    <row r="181" spans="3:16">
      <c r="C181" s="1">
        <v>179</v>
      </c>
      <c r="D181" s="1" t="str">
        <f t="shared" si="19"/>
        <v>00B3</v>
      </c>
      <c r="H181" t="str">
        <f t="shared" si="20"/>
        <v>#define    179</v>
      </c>
      <c r="I181" t="str">
        <f t="shared" si="21"/>
        <v>public const byte  = 179;</v>
      </c>
      <c r="L181" t="str">
        <f t="shared" si="25"/>
        <v>UpdateScanList(, 5000);</v>
      </c>
      <c r="N181" t="str">
        <f t="shared" si="22"/>
        <v>COM_AddStreamedVariable(, 1000);</v>
      </c>
      <c r="O181" t="str">
        <f t="shared" si="23"/>
        <v/>
      </c>
      <c r="P181" t="str">
        <f t="shared" si="24"/>
        <v>cJSON_AddItemToObject(Uha, "", cJSON_CreateNumber(mVars[179]));</v>
      </c>
    </row>
    <row r="182" spans="3:16">
      <c r="C182" s="1">
        <v>180</v>
      </c>
      <c r="D182" s="1" t="str">
        <f t="shared" si="19"/>
        <v>00B4</v>
      </c>
      <c r="E182" t="s">
        <v>187</v>
      </c>
      <c r="H182" t="str">
        <f t="shared" si="20"/>
        <v>#define  VAR_BMS1_CELL1_MV  180</v>
      </c>
      <c r="I182" t="str">
        <f t="shared" si="21"/>
        <v>public const byte VAR_BMS1_CELL1_MV = 180;</v>
      </c>
      <c r="J182">
        <v>0</v>
      </c>
      <c r="L182" t="str">
        <f t="shared" si="25"/>
        <v>UpdateScanList(VAR_BMS1_CELL1_MV, 5000);</v>
      </c>
      <c r="M182" t="str">
        <f>CONCATENATE("VAR_SetVariable(",E182,", Cells[",J182,"].Voltage_mV", ", validflag);")</f>
        <v>VAR_SetVariable(VAR_BMS1_CELL1_MV, Cells[0].Voltage_mV, validflag);</v>
      </c>
      <c r="N182" t="str">
        <f t="shared" si="22"/>
        <v>COM_AddStreamedVariable(VAR_BMS1_CELL1_MV, 1000);</v>
      </c>
      <c r="O182" t="str">
        <f t="shared" si="23"/>
        <v>cJSON_AddItemToObject(Uha, "VAR_BMS1_CELL1_MV", cJSON_CreateNumber(mVars[VAR_BMS1_CELL1_MV]));</v>
      </c>
      <c r="P182" t="str">
        <f t="shared" si="24"/>
        <v>cJSON_AddItemToObject(Uha, "VAR_BMS1_CELL1_MV", cJSON_CreateNumber(mVars[180]));</v>
      </c>
    </row>
    <row r="183" spans="3:16">
      <c r="C183" s="1">
        <v>181</v>
      </c>
      <c r="D183" s="1" t="str">
        <f t="shared" si="19"/>
        <v>00B5</v>
      </c>
      <c r="E183" t="s">
        <v>188</v>
      </c>
      <c r="H183" t="str">
        <f t="shared" si="20"/>
        <v>#define  VAR_BMS1_CELL2_MV  181</v>
      </c>
      <c r="I183" t="str">
        <f t="shared" si="21"/>
        <v>public const byte VAR_BMS1_CELL2_MV = 181;</v>
      </c>
      <c r="J183">
        <v>1</v>
      </c>
      <c r="L183" t="str">
        <f t="shared" si="25"/>
        <v>UpdateScanList(VAR_BMS1_CELL2_MV, 5000);</v>
      </c>
      <c r="M183" t="str">
        <f t="shared" ref="M183:M237" si="26">CONCATENATE("VAR_SetVariable(",E183,", Cells[",J183,"].Voltage_mV", ", validflag);")</f>
        <v>VAR_SetVariable(VAR_BMS1_CELL2_MV, Cells[1].Voltage_mV, validflag);</v>
      </c>
      <c r="N183" t="str">
        <f t="shared" si="22"/>
        <v>COM_AddStreamedVariable(VAR_BMS1_CELL2_MV, 1000);</v>
      </c>
      <c r="O183" t="str">
        <f t="shared" si="23"/>
        <v>cJSON_AddItemToObject(Uha, "VAR_BMS1_CELL2_MV", cJSON_CreateNumber(mVars[VAR_BMS1_CELL2_MV]));</v>
      </c>
      <c r="P183" t="str">
        <f t="shared" si="24"/>
        <v>cJSON_AddItemToObject(Uha, "VAR_BMS1_CELL2_MV", cJSON_CreateNumber(mVars[181]));</v>
      </c>
    </row>
    <row r="184" spans="3:16">
      <c r="C184" s="1">
        <v>182</v>
      </c>
      <c r="D184" s="1" t="str">
        <f t="shared" si="19"/>
        <v>00B6</v>
      </c>
      <c r="E184" t="s">
        <v>189</v>
      </c>
      <c r="H184" t="str">
        <f t="shared" si="20"/>
        <v>#define  VAR_BMS1_CELL3_MV  182</v>
      </c>
      <c r="I184" t="str">
        <f t="shared" si="21"/>
        <v>public const byte VAR_BMS1_CELL3_MV = 182;</v>
      </c>
      <c r="J184">
        <v>2</v>
      </c>
      <c r="L184" t="str">
        <f t="shared" si="25"/>
        <v>UpdateScanList(VAR_BMS1_CELL3_MV, 5000);</v>
      </c>
      <c r="M184" t="str">
        <f t="shared" si="26"/>
        <v>VAR_SetVariable(VAR_BMS1_CELL3_MV, Cells[2].Voltage_mV, validflag);</v>
      </c>
      <c r="N184" t="str">
        <f t="shared" si="22"/>
        <v>COM_AddStreamedVariable(VAR_BMS1_CELL3_MV, 1000);</v>
      </c>
      <c r="O184" t="str">
        <f t="shared" si="23"/>
        <v>cJSON_AddItemToObject(Uha, "VAR_BMS1_CELL3_MV", cJSON_CreateNumber(mVars[VAR_BMS1_CELL3_MV]));</v>
      </c>
      <c r="P184" t="str">
        <f t="shared" si="24"/>
        <v>cJSON_AddItemToObject(Uha, "VAR_BMS1_CELL3_MV", cJSON_CreateNumber(mVars[182]));</v>
      </c>
    </row>
    <row r="185" spans="3:16">
      <c r="C185" s="1">
        <v>183</v>
      </c>
      <c r="D185" s="1" t="str">
        <f t="shared" si="19"/>
        <v>00B7</v>
      </c>
      <c r="E185" t="s">
        <v>190</v>
      </c>
      <c r="H185" t="str">
        <f t="shared" si="20"/>
        <v>#define  VAR_BMS1_CELL4_MV  183</v>
      </c>
      <c r="I185" t="str">
        <f t="shared" si="21"/>
        <v>public const byte VAR_BMS1_CELL4_MV = 183;</v>
      </c>
      <c r="J185">
        <v>3</v>
      </c>
      <c r="L185" t="str">
        <f t="shared" si="25"/>
        <v>UpdateScanList(VAR_BMS1_CELL4_MV, 5000);</v>
      </c>
      <c r="M185" t="str">
        <f t="shared" si="26"/>
        <v>VAR_SetVariable(VAR_BMS1_CELL4_MV, Cells[3].Voltage_mV, validflag);</v>
      </c>
      <c r="N185" t="str">
        <f t="shared" si="22"/>
        <v>COM_AddStreamedVariable(VAR_BMS1_CELL4_MV, 1000);</v>
      </c>
      <c r="O185" t="str">
        <f t="shared" si="23"/>
        <v>cJSON_AddItemToObject(Uha, "VAR_BMS1_CELL4_MV", cJSON_CreateNumber(mVars[VAR_BMS1_CELL4_MV]));</v>
      </c>
      <c r="P185" t="str">
        <f t="shared" si="24"/>
        <v>cJSON_AddItemToObject(Uha, "VAR_BMS1_CELL4_MV", cJSON_CreateNumber(mVars[183]));</v>
      </c>
    </row>
    <row r="186" spans="3:16">
      <c r="C186" s="1">
        <v>184</v>
      </c>
      <c r="D186" s="1" t="str">
        <f t="shared" si="19"/>
        <v>00B8</v>
      </c>
      <c r="E186" t="s">
        <v>191</v>
      </c>
      <c r="H186" t="str">
        <f t="shared" si="20"/>
        <v>#define  VAR_BMS1_CELL5_MV  184</v>
      </c>
      <c r="I186" t="str">
        <f t="shared" si="21"/>
        <v>public const byte VAR_BMS1_CELL5_MV = 184;</v>
      </c>
      <c r="J186">
        <v>4</v>
      </c>
      <c r="L186" t="str">
        <f t="shared" si="25"/>
        <v>UpdateScanList(VAR_BMS1_CELL5_MV, 5000);</v>
      </c>
      <c r="M186" t="str">
        <f t="shared" si="26"/>
        <v>VAR_SetVariable(VAR_BMS1_CELL5_MV, Cells[4].Voltage_mV, validflag);</v>
      </c>
      <c r="N186" t="str">
        <f t="shared" si="22"/>
        <v>COM_AddStreamedVariable(VAR_BMS1_CELL5_MV, 1000);</v>
      </c>
      <c r="O186" t="str">
        <f t="shared" si="23"/>
        <v>cJSON_AddItemToObject(Uha, "VAR_BMS1_CELL5_MV", cJSON_CreateNumber(mVars[VAR_BMS1_CELL5_MV]));</v>
      </c>
      <c r="P186" t="str">
        <f t="shared" si="24"/>
        <v>cJSON_AddItemToObject(Uha, "VAR_BMS1_CELL5_MV", cJSON_CreateNumber(mVars[184]));</v>
      </c>
    </row>
    <row r="187" spans="3:16">
      <c r="C187" s="1">
        <v>185</v>
      </c>
      <c r="D187" s="1" t="str">
        <f t="shared" si="19"/>
        <v>00B9</v>
      </c>
      <c r="E187" t="s">
        <v>192</v>
      </c>
      <c r="H187" t="str">
        <f t="shared" si="20"/>
        <v>#define  VAR_BMS1_CELL6_MV  185</v>
      </c>
      <c r="I187" t="str">
        <f t="shared" si="21"/>
        <v>public const byte VAR_BMS1_CELL6_MV = 185;</v>
      </c>
      <c r="J187">
        <v>5</v>
      </c>
      <c r="L187" t="str">
        <f t="shared" si="25"/>
        <v>UpdateScanList(VAR_BMS1_CELL6_MV, 5000);</v>
      </c>
      <c r="M187" t="str">
        <f t="shared" si="26"/>
        <v>VAR_SetVariable(VAR_BMS1_CELL6_MV, Cells[5].Voltage_mV, validflag);</v>
      </c>
      <c r="N187" t="str">
        <f t="shared" si="22"/>
        <v>COM_AddStreamedVariable(VAR_BMS1_CELL6_MV, 1000);</v>
      </c>
      <c r="O187" t="str">
        <f t="shared" si="23"/>
        <v>cJSON_AddItemToObject(Uha, "VAR_BMS1_CELL6_MV", cJSON_CreateNumber(mVars[VAR_BMS1_CELL6_MV]));</v>
      </c>
      <c r="P187" t="str">
        <f t="shared" si="24"/>
        <v>cJSON_AddItemToObject(Uha, "VAR_BMS1_CELL6_MV", cJSON_CreateNumber(mVars[185]));</v>
      </c>
    </row>
    <row r="188" spans="3:16">
      <c r="C188" s="1">
        <v>186</v>
      </c>
      <c r="D188" s="1" t="str">
        <f t="shared" si="19"/>
        <v>00BA</v>
      </c>
      <c r="E188" t="s">
        <v>193</v>
      </c>
      <c r="H188" t="str">
        <f t="shared" si="20"/>
        <v>#define  VAR_BMS1_CELL7_MV  186</v>
      </c>
      <c r="I188" t="str">
        <f t="shared" si="21"/>
        <v>public const byte VAR_BMS1_CELL7_MV = 186;</v>
      </c>
      <c r="J188">
        <v>6</v>
      </c>
      <c r="L188" t="str">
        <f t="shared" si="25"/>
        <v>UpdateScanList(VAR_BMS1_CELL7_MV, 5000);</v>
      </c>
      <c r="M188" t="str">
        <f t="shared" si="26"/>
        <v>VAR_SetVariable(VAR_BMS1_CELL7_MV, Cells[6].Voltage_mV, validflag);</v>
      </c>
      <c r="N188" t="str">
        <f t="shared" si="22"/>
        <v>COM_AddStreamedVariable(VAR_BMS1_CELL7_MV, 1000);</v>
      </c>
      <c r="O188" t="str">
        <f t="shared" si="23"/>
        <v>cJSON_AddItemToObject(Uha, "VAR_BMS1_CELL7_MV", cJSON_CreateNumber(mVars[VAR_BMS1_CELL7_MV]));</v>
      </c>
      <c r="P188" t="str">
        <f t="shared" si="24"/>
        <v>cJSON_AddItemToObject(Uha, "VAR_BMS1_CELL7_MV", cJSON_CreateNumber(mVars[186]));</v>
      </c>
    </row>
    <row r="189" spans="3:16">
      <c r="C189" s="1">
        <v>187</v>
      </c>
      <c r="D189" s="1" t="str">
        <f t="shared" si="19"/>
        <v>00BB</v>
      </c>
      <c r="E189" t="s">
        <v>194</v>
      </c>
      <c r="H189" t="str">
        <f t="shared" si="20"/>
        <v>#define  VAR_BMS1_CELL8_MV  187</v>
      </c>
      <c r="I189" t="str">
        <f t="shared" si="21"/>
        <v>public const byte VAR_BMS1_CELL8_MV = 187;</v>
      </c>
      <c r="J189">
        <v>7</v>
      </c>
      <c r="L189" t="str">
        <f t="shared" si="25"/>
        <v>UpdateScanList(VAR_BMS1_CELL8_MV, 5000);</v>
      </c>
      <c r="M189" t="str">
        <f t="shared" si="26"/>
        <v>VAR_SetVariable(VAR_BMS1_CELL8_MV, Cells[7].Voltage_mV, validflag);</v>
      </c>
      <c r="N189" t="str">
        <f t="shared" si="22"/>
        <v>COM_AddStreamedVariable(VAR_BMS1_CELL8_MV, 1000);</v>
      </c>
      <c r="O189" t="str">
        <f t="shared" si="23"/>
        <v>cJSON_AddItemToObject(Uha, "VAR_BMS1_CELL8_MV", cJSON_CreateNumber(mVars[VAR_BMS1_CELL8_MV]));</v>
      </c>
      <c r="P189" t="str">
        <f t="shared" si="24"/>
        <v>cJSON_AddItemToObject(Uha, "VAR_BMS1_CELL8_MV", cJSON_CreateNumber(mVars[187]));</v>
      </c>
    </row>
    <row r="190" spans="3:16">
      <c r="C190" s="1">
        <v>188</v>
      </c>
      <c r="D190" s="1" t="str">
        <f t="shared" si="19"/>
        <v>00BC</v>
      </c>
      <c r="E190" t="s">
        <v>195</v>
      </c>
      <c r="H190" t="str">
        <f t="shared" si="20"/>
        <v>#define  VAR_BMS1_CELL9_MV  188</v>
      </c>
      <c r="I190" t="str">
        <f t="shared" si="21"/>
        <v>public const byte VAR_BMS1_CELL9_MV = 188;</v>
      </c>
      <c r="J190">
        <v>8</v>
      </c>
      <c r="L190" t="str">
        <f t="shared" si="25"/>
        <v>UpdateScanList(VAR_BMS1_CELL9_MV, 5000);</v>
      </c>
      <c r="M190" t="str">
        <f t="shared" si="26"/>
        <v>VAR_SetVariable(VAR_BMS1_CELL9_MV, Cells[8].Voltage_mV, validflag);</v>
      </c>
      <c r="N190" t="str">
        <f t="shared" si="22"/>
        <v>COM_AddStreamedVariable(VAR_BMS1_CELL9_MV, 1000);</v>
      </c>
      <c r="O190" t="str">
        <f t="shared" si="23"/>
        <v>cJSON_AddItemToObject(Uha, "VAR_BMS1_CELL9_MV", cJSON_CreateNumber(mVars[VAR_BMS1_CELL9_MV]));</v>
      </c>
      <c r="P190" t="str">
        <f t="shared" si="24"/>
        <v>cJSON_AddItemToObject(Uha, "VAR_BMS1_CELL9_MV", cJSON_CreateNumber(mVars[188]));</v>
      </c>
    </row>
    <row r="191" spans="3:16">
      <c r="C191" s="1">
        <v>189</v>
      </c>
      <c r="D191" s="1" t="str">
        <f t="shared" si="19"/>
        <v>00BD</v>
      </c>
      <c r="E191" t="s">
        <v>196</v>
      </c>
      <c r="H191" t="str">
        <f t="shared" si="20"/>
        <v>#define  VAR_BMS1_CELL10_MV  189</v>
      </c>
      <c r="I191" t="str">
        <f t="shared" si="21"/>
        <v>public const byte VAR_BMS1_CELL10_MV = 189;</v>
      </c>
      <c r="J191">
        <v>9</v>
      </c>
      <c r="L191" t="str">
        <f t="shared" si="25"/>
        <v>UpdateScanList(VAR_BMS1_CELL10_MV, 5000);</v>
      </c>
      <c r="M191" t="str">
        <f t="shared" si="26"/>
        <v>VAR_SetVariable(VAR_BMS1_CELL10_MV, Cells[9].Voltage_mV, validflag);</v>
      </c>
      <c r="N191" t="str">
        <f t="shared" si="22"/>
        <v>COM_AddStreamedVariable(VAR_BMS1_CELL10_MV, 1000);</v>
      </c>
      <c r="O191" t="str">
        <f t="shared" si="23"/>
        <v>cJSON_AddItemToObject(Uha, "VAR_BMS1_CELL10_MV", cJSON_CreateNumber(mVars[VAR_BMS1_CELL10_MV]));</v>
      </c>
      <c r="P191" t="str">
        <f t="shared" si="24"/>
        <v>cJSON_AddItemToObject(Uha, "VAR_BMS1_CELL10_MV", cJSON_CreateNumber(mVars[189]));</v>
      </c>
    </row>
    <row r="192" spans="3:16">
      <c r="C192" s="1">
        <v>190</v>
      </c>
      <c r="D192" s="1" t="str">
        <f t="shared" si="19"/>
        <v>00BE</v>
      </c>
      <c r="E192" t="s">
        <v>197</v>
      </c>
      <c r="H192" t="str">
        <f t="shared" si="20"/>
        <v>#define  VAR_BMS1_CELL11_MV  190</v>
      </c>
      <c r="I192" t="str">
        <f t="shared" si="21"/>
        <v>public const byte VAR_BMS1_CELL11_MV = 190;</v>
      </c>
      <c r="J192">
        <v>10</v>
      </c>
      <c r="L192" t="str">
        <f t="shared" si="25"/>
        <v>UpdateScanList(VAR_BMS1_CELL11_MV, 5000);</v>
      </c>
      <c r="M192" t="str">
        <f t="shared" si="26"/>
        <v>VAR_SetVariable(VAR_BMS1_CELL11_MV, Cells[10].Voltage_mV, validflag);</v>
      </c>
      <c r="N192" t="str">
        <f t="shared" si="22"/>
        <v>COM_AddStreamedVariable(VAR_BMS1_CELL11_MV, 1000);</v>
      </c>
      <c r="O192" t="str">
        <f t="shared" si="23"/>
        <v>cJSON_AddItemToObject(Uha, "VAR_BMS1_CELL11_MV", cJSON_CreateNumber(mVars[VAR_BMS1_CELL11_MV]));</v>
      </c>
      <c r="P192" t="str">
        <f t="shared" si="24"/>
        <v>cJSON_AddItemToObject(Uha, "VAR_BMS1_CELL11_MV", cJSON_CreateNumber(mVars[190]));</v>
      </c>
    </row>
    <row r="193" spans="3:16">
      <c r="C193" s="1">
        <v>191</v>
      </c>
      <c r="D193" s="1" t="str">
        <f t="shared" si="19"/>
        <v>00BF</v>
      </c>
      <c r="E193" t="s">
        <v>198</v>
      </c>
      <c r="H193" t="str">
        <f t="shared" si="20"/>
        <v>#define  VAR_BMS1_CELL12_MV  191</v>
      </c>
      <c r="I193" t="str">
        <f t="shared" si="21"/>
        <v>public const byte VAR_BMS1_CELL12_MV = 191;</v>
      </c>
      <c r="J193">
        <v>11</v>
      </c>
      <c r="L193" t="str">
        <f t="shared" si="25"/>
        <v>UpdateScanList(VAR_BMS1_CELL12_MV, 5000);</v>
      </c>
      <c r="M193" t="str">
        <f t="shared" si="26"/>
        <v>VAR_SetVariable(VAR_BMS1_CELL12_MV, Cells[11].Voltage_mV, validflag);</v>
      </c>
      <c r="N193" t="str">
        <f t="shared" si="22"/>
        <v>COM_AddStreamedVariable(VAR_BMS1_CELL12_MV, 1000);</v>
      </c>
      <c r="O193" t="str">
        <f t="shared" si="23"/>
        <v>cJSON_AddItemToObject(Uha, "VAR_BMS1_CELL12_MV", cJSON_CreateNumber(mVars[VAR_BMS1_CELL12_MV]));</v>
      </c>
      <c r="P193" t="str">
        <f t="shared" si="24"/>
        <v>cJSON_AddItemToObject(Uha, "VAR_BMS1_CELL12_MV", cJSON_CreateNumber(mVars[191]));</v>
      </c>
    </row>
    <row r="194" spans="3:16">
      <c r="C194" s="1">
        <v>192</v>
      </c>
      <c r="D194" s="1" t="str">
        <f t="shared" ref="D194:D257" si="27">DEC2HEX(C194,4)</f>
        <v>00C0</v>
      </c>
      <c r="E194" t="s">
        <v>199</v>
      </c>
      <c r="H194" t="str">
        <f t="shared" si="20"/>
        <v>#define  VAR_BMS1_CELL13_MV  192</v>
      </c>
      <c r="I194" t="str">
        <f t="shared" si="21"/>
        <v>public const byte VAR_BMS1_CELL13_MV = 192;</v>
      </c>
      <c r="J194">
        <v>12</v>
      </c>
      <c r="L194" t="str">
        <f t="shared" si="25"/>
        <v>UpdateScanList(VAR_BMS1_CELL13_MV, 5000);</v>
      </c>
      <c r="M194" t="str">
        <f t="shared" si="26"/>
        <v>VAR_SetVariable(VAR_BMS1_CELL13_MV, Cells[12].Voltage_mV, validflag);</v>
      </c>
      <c r="N194" t="str">
        <f t="shared" si="22"/>
        <v>COM_AddStreamedVariable(VAR_BMS1_CELL13_MV, 1000);</v>
      </c>
      <c r="O194" t="str">
        <f t="shared" si="23"/>
        <v>cJSON_AddItemToObject(Uha, "VAR_BMS1_CELL13_MV", cJSON_CreateNumber(mVars[VAR_BMS1_CELL13_MV]));</v>
      </c>
      <c r="P194" t="str">
        <f t="shared" si="24"/>
        <v>cJSON_AddItemToObject(Uha, "VAR_BMS1_CELL13_MV", cJSON_CreateNumber(mVars[192]));</v>
      </c>
    </row>
    <row r="195" spans="3:16">
      <c r="C195" s="1">
        <v>193</v>
      </c>
      <c r="D195" s="1" t="str">
        <f t="shared" si="27"/>
        <v>00C1</v>
      </c>
      <c r="E195" t="s">
        <v>200</v>
      </c>
      <c r="H195" t="str">
        <f t="shared" si="20"/>
        <v>#define  VAR_BMS1_CELL14_MV  193</v>
      </c>
      <c r="I195" t="str">
        <f t="shared" si="21"/>
        <v>public const byte VAR_BMS1_CELL14_MV = 193;</v>
      </c>
      <c r="J195">
        <v>13</v>
      </c>
      <c r="L195" t="str">
        <f t="shared" si="25"/>
        <v>UpdateScanList(VAR_BMS1_CELL14_MV, 5000);</v>
      </c>
      <c r="M195" t="str">
        <f t="shared" si="26"/>
        <v>VAR_SetVariable(VAR_BMS1_CELL14_MV, Cells[13].Voltage_mV, validflag);</v>
      </c>
      <c r="N195" t="str">
        <f t="shared" si="22"/>
        <v>COM_AddStreamedVariable(VAR_BMS1_CELL14_MV, 1000);</v>
      </c>
      <c r="O195" t="str">
        <f t="shared" si="23"/>
        <v>cJSON_AddItemToObject(Uha, "VAR_BMS1_CELL14_MV", cJSON_CreateNumber(mVars[VAR_BMS1_CELL14_MV]));</v>
      </c>
      <c r="P195" t="str">
        <f t="shared" si="24"/>
        <v>cJSON_AddItemToObject(Uha, "VAR_BMS1_CELL14_MV", cJSON_CreateNumber(mVars[193]));</v>
      </c>
    </row>
    <row r="196" spans="3:16">
      <c r="C196" s="1">
        <v>194</v>
      </c>
      <c r="D196" s="1" t="str">
        <f t="shared" si="27"/>
        <v>00C2</v>
      </c>
      <c r="E196" t="s">
        <v>201</v>
      </c>
      <c r="H196" t="str">
        <f t="shared" si="20"/>
        <v>#define  VAR_BMS1_CELL15_MV  194</v>
      </c>
      <c r="I196" t="str">
        <f t="shared" si="21"/>
        <v>public const byte VAR_BMS1_CELL15_MV = 194;</v>
      </c>
      <c r="J196">
        <v>14</v>
      </c>
      <c r="L196" t="str">
        <f t="shared" si="25"/>
        <v>UpdateScanList(VAR_BMS1_CELL15_MV, 5000);</v>
      </c>
      <c r="M196" t="str">
        <f t="shared" si="26"/>
        <v>VAR_SetVariable(VAR_BMS1_CELL15_MV, Cells[14].Voltage_mV, validflag);</v>
      </c>
      <c r="N196" t="str">
        <f t="shared" si="22"/>
        <v>COM_AddStreamedVariable(VAR_BMS1_CELL15_MV, 1000);</v>
      </c>
      <c r="O196" t="str">
        <f t="shared" si="23"/>
        <v>cJSON_AddItemToObject(Uha, "VAR_BMS1_CELL15_MV", cJSON_CreateNumber(mVars[VAR_BMS1_CELL15_MV]));</v>
      </c>
      <c r="P196" t="str">
        <f t="shared" si="24"/>
        <v>cJSON_AddItemToObject(Uha, "VAR_BMS1_CELL15_MV", cJSON_CreateNumber(mVars[194]));</v>
      </c>
    </row>
    <row r="197" spans="3:16">
      <c r="C197" s="1">
        <v>195</v>
      </c>
      <c r="D197" s="1" t="str">
        <f t="shared" si="27"/>
        <v>00C3</v>
      </c>
      <c r="E197" t="s">
        <v>202</v>
      </c>
      <c r="H197" t="str">
        <f t="shared" si="20"/>
        <v>#define  VAR_BMS1_CELL16_MV  195</v>
      </c>
      <c r="I197" t="str">
        <f t="shared" si="21"/>
        <v>public const byte VAR_BMS1_CELL16_MV = 195;</v>
      </c>
      <c r="J197">
        <v>15</v>
      </c>
      <c r="L197" t="str">
        <f t="shared" si="25"/>
        <v>UpdateScanList(VAR_BMS1_CELL16_MV, 5000);</v>
      </c>
      <c r="M197" t="str">
        <f t="shared" si="26"/>
        <v>VAR_SetVariable(VAR_BMS1_CELL16_MV, Cells[15].Voltage_mV, validflag);</v>
      </c>
      <c r="N197" t="str">
        <f t="shared" si="22"/>
        <v>COM_AddStreamedVariable(VAR_BMS1_CELL16_MV, 1000);</v>
      </c>
      <c r="O197" t="str">
        <f t="shared" si="23"/>
        <v>cJSON_AddItemToObject(Uha, "VAR_BMS1_CELL16_MV", cJSON_CreateNumber(mVars[VAR_BMS1_CELL16_MV]));</v>
      </c>
      <c r="P197" t="str">
        <f t="shared" si="24"/>
        <v>cJSON_AddItemToObject(Uha, "VAR_BMS1_CELL16_MV", cJSON_CreateNumber(mVars[195]));</v>
      </c>
    </row>
    <row r="198" spans="3:16">
      <c r="C198" s="1">
        <v>196</v>
      </c>
      <c r="D198" s="1" t="str">
        <f t="shared" si="27"/>
        <v>00C4</v>
      </c>
      <c r="E198" t="s">
        <v>219</v>
      </c>
      <c r="H198" t="str">
        <f t="shared" si="20"/>
        <v>#define  VAR_BMS1_CELL1_C  196</v>
      </c>
      <c r="I198" t="str">
        <f t="shared" si="21"/>
        <v>public const byte VAR_BMS1_CELL1_C = 196;</v>
      </c>
      <c r="J198">
        <v>0</v>
      </c>
      <c r="L198" t="str">
        <f t="shared" si="25"/>
        <v>UpdateScanList(VAR_BMS1_CELL1_C, 5000);</v>
      </c>
      <c r="M198" t="str">
        <f>CONCATENATE("VAR_SetVariable(",E198,", Cells[",J198,"].Temp_C", ", validflag);")</f>
        <v>VAR_SetVariable(VAR_BMS1_CELL1_C, Cells[0].Temp_C, validflag);</v>
      </c>
      <c r="N198" t="str">
        <f t="shared" si="22"/>
        <v>COM_AddStreamedVariable(VAR_BMS1_CELL1_C, 1000);</v>
      </c>
      <c r="O198" t="str">
        <f t="shared" si="23"/>
        <v>cJSON_AddItemToObject(Uha, "VAR_BMS1_CELL1_C", cJSON_CreateNumber(mVars[VAR_BMS1_CELL1_C]));</v>
      </c>
      <c r="P198" t="str">
        <f t="shared" si="24"/>
        <v>cJSON_AddItemToObject(Uha, "VAR_BMS1_CELL1_C", cJSON_CreateNumber(mVars[196]));</v>
      </c>
    </row>
    <row r="199" spans="3:16">
      <c r="C199" s="1">
        <v>197</v>
      </c>
      <c r="D199" s="1" t="str">
        <f t="shared" si="27"/>
        <v>00C5</v>
      </c>
      <c r="E199" t="s">
        <v>220</v>
      </c>
      <c r="H199" t="str">
        <f t="shared" si="20"/>
        <v>#define  VAR_BMS1_CELL2_C  197</v>
      </c>
      <c r="I199" t="str">
        <f t="shared" si="21"/>
        <v>public const byte VAR_BMS1_CELL2_C = 197;</v>
      </c>
      <c r="J199">
        <v>1</v>
      </c>
      <c r="L199" t="str">
        <f t="shared" si="25"/>
        <v>UpdateScanList(VAR_BMS1_CELL2_C, 5000);</v>
      </c>
      <c r="M199" t="str">
        <f t="shared" ref="M199:M213" si="28">CONCATENATE("VAR_SetVariable(",E199,", Cells[",J199,"].Temp_C", ", validflag);")</f>
        <v>VAR_SetVariable(VAR_BMS1_CELL2_C, Cells[1].Temp_C, validflag);</v>
      </c>
      <c r="N199" t="str">
        <f t="shared" si="22"/>
        <v>COM_AddStreamedVariable(VAR_BMS1_CELL2_C, 1000);</v>
      </c>
      <c r="O199" t="str">
        <f t="shared" si="23"/>
        <v>cJSON_AddItemToObject(Uha, "VAR_BMS1_CELL2_C", cJSON_CreateNumber(mVars[VAR_BMS1_CELL2_C]));</v>
      </c>
      <c r="P199" t="str">
        <f t="shared" si="24"/>
        <v>cJSON_AddItemToObject(Uha, "VAR_BMS1_CELL2_C", cJSON_CreateNumber(mVars[197]));</v>
      </c>
    </row>
    <row r="200" spans="3:16">
      <c r="C200" s="1">
        <v>198</v>
      </c>
      <c r="D200" s="1" t="str">
        <f t="shared" si="27"/>
        <v>00C6</v>
      </c>
      <c r="E200" t="s">
        <v>221</v>
      </c>
      <c r="H200" t="str">
        <f t="shared" si="20"/>
        <v>#define  VAR_BMS1_CELL3_C  198</v>
      </c>
      <c r="I200" t="str">
        <f t="shared" si="21"/>
        <v>public const byte VAR_BMS1_CELL3_C = 198;</v>
      </c>
      <c r="J200">
        <v>2</v>
      </c>
      <c r="L200" t="str">
        <f t="shared" si="25"/>
        <v>UpdateScanList(VAR_BMS1_CELL3_C, 5000);</v>
      </c>
      <c r="M200" t="str">
        <f t="shared" si="28"/>
        <v>VAR_SetVariable(VAR_BMS1_CELL3_C, Cells[2].Temp_C, validflag);</v>
      </c>
      <c r="N200" t="str">
        <f t="shared" si="22"/>
        <v>COM_AddStreamedVariable(VAR_BMS1_CELL3_C, 1000);</v>
      </c>
      <c r="O200" t="str">
        <f t="shared" si="23"/>
        <v>cJSON_AddItemToObject(Uha, "VAR_BMS1_CELL3_C", cJSON_CreateNumber(mVars[VAR_BMS1_CELL3_C]));</v>
      </c>
      <c r="P200" t="str">
        <f t="shared" si="24"/>
        <v>cJSON_AddItemToObject(Uha, "VAR_BMS1_CELL3_C", cJSON_CreateNumber(mVars[198]));</v>
      </c>
    </row>
    <row r="201" spans="3:16">
      <c r="C201" s="1">
        <v>199</v>
      </c>
      <c r="D201" s="1" t="str">
        <f t="shared" si="27"/>
        <v>00C7</v>
      </c>
      <c r="E201" t="s">
        <v>222</v>
      </c>
      <c r="H201" t="str">
        <f t="shared" si="20"/>
        <v>#define  VAR_BMS1_CELL4_C  199</v>
      </c>
      <c r="I201" t="str">
        <f t="shared" si="21"/>
        <v>public const byte VAR_BMS1_CELL4_C = 199;</v>
      </c>
      <c r="J201">
        <v>3</v>
      </c>
      <c r="L201" t="str">
        <f t="shared" si="25"/>
        <v>UpdateScanList(VAR_BMS1_CELL4_C, 5000);</v>
      </c>
      <c r="M201" t="str">
        <f t="shared" si="28"/>
        <v>VAR_SetVariable(VAR_BMS1_CELL4_C, Cells[3].Temp_C, validflag);</v>
      </c>
      <c r="N201" t="str">
        <f t="shared" si="22"/>
        <v>COM_AddStreamedVariable(VAR_BMS1_CELL4_C, 1000);</v>
      </c>
      <c r="O201" t="str">
        <f t="shared" si="23"/>
        <v>cJSON_AddItemToObject(Uha, "VAR_BMS1_CELL4_C", cJSON_CreateNumber(mVars[VAR_BMS1_CELL4_C]));</v>
      </c>
      <c r="P201" t="str">
        <f t="shared" si="24"/>
        <v>cJSON_AddItemToObject(Uha, "VAR_BMS1_CELL4_C", cJSON_CreateNumber(mVars[199]));</v>
      </c>
    </row>
    <row r="202" spans="3:16">
      <c r="C202" s="1">
        <v>200</v>
      </c>
      <c r="D202" s="1" t="str">
        <f t="shared" si="27"/>
        <v>00C8</v>
      </c>
      <c r="E202" t="s">
        <v>223</v>
      </c>
      <c r="H202" t="str">
        <f t="shared" si="20"/>
        <v>#define  VAR_BMS1_CELL5_C  200</v>
      </c>
      <c r="I202" t="str">
        <f t="shared" si="21"/>
        <v>public const byte VAR_BMS1_CELL5_C = 200;</v>
      </c>
      <c r="J202">
        <v>4</v>
      </c>
      <c r="L202" t="str">
        <f t="shared" si="25"/>
        <v>UpdateScanList(VAR_BMS1_CELL5_C, 5000);</v>
      </c>
      <c r="M202" t="str">
        <f t="shared" si="28"/>
        <v>VAR_SetVariable(VAR_BMS1_CELL5_C, Cells[4].Temp_C, validflag);</v>
      </c>
      <c r="N202" t="str">
        <f t="shared" si="22"/>
        <v>COM_AddStreamedVariable(VAR_BMS1_CELL5_C, 1000);</v>
      </c>
      <c r="O202" t="str">
        <f t="shared" si="23"/>
        <v>cJSON_AddItemToObject(Uha, "VAR_BMS1_CELL5_C", cJSON_CreateNumber(mVars[VAR_BMS1_CELL5_C]));</v>
      </c>
      <c r="P202" t="str">
        <f t="shared" si="24"/>
        <v>cJSON_AddItemToObject(Uha, "VAR_BMS1_CELL5_C", cJSON_CreateNumber(mVars[200]));</v>
      </c>
    </row>
    <row r="203" spans="3:16">
      <c r="C203" s="1">
        <v>201</v>
      </c>
      <c r="D203" s="1" t="str">
        <f t="shared" si="27"/>
        <v>00C9</v>
      </c>
      <c r="E203" t="s">
        <v>224</v>
      </c>
      <c r="H203" t="str">
        <f t="shared" ref="H203:H266" si="29">CONCATENATE("#define  ",E203,"  ",C203)</f>
        <v>#define  VAR_BMS1_CELL6_C  201</v>
      </c>
      <c r="I203" t="str">
        <f t="shared" ref="I203:I266" si="30">CONCATENATE("public const byte ",E203," = ",C203,";")</f>
        <v>public const byte VAR_BMS1_CELL6_C = 201;</v>
      </c>
      <c r="J203">
        <v>5</v>
      </c>
      <c r="L203" t="str">
        <f t="shared" si="25"/>
        <v>UpdateScanList(VAR_BMS1_CELL6_C, 5000);</v>
      </c>
      <c r="M203" t="str">
        <f t="shared" si="28"/>
        <v>VAR_SetVariable(VAR_BMS1_CELL6_C, Cells[5].Temp_C, validflag);</v>
      </c>
      <c r="N203" t="str">
        <f t="shared" ref="N203:N266" si="31">CONCATENATE("COM_AddStreamedVariable(",E203, ", 1000);")</f>
        <v>COM_AddStreamedVariable(VAR_BMS1_CELL6_C, 1000);</v>
      </c>
      <c r="O203" t="str">
        <f t="shared" ref="O203:O266" si="32">IF(ISBLANK(E203),"",CONCATENATE("cJSON_AddItemToObject(Uha, ","""",E203,"""",", cJSON_CreateNumber(mVars[",E203,"]));"))</f>
        <v>cJSON_AddItemToObject(Uha, "VAR_BMS1_CELL6_C", cJSON_CreateNumber(mVars[VAR_BMS1_CELL6_C]));</v>
      </c>
      <c r="P203" t="str">
        <f t="shared" ref="P203:P266" si="33">CONCATENATE("cJSON_AddItemToObject(Uha, ","""",E203,"""",", cJSON_CreateNumber(mVars[",C203,"]));")</f>
        <v>cJSON_AddItemToObject(Uha, "VAR_BMS1_CELL6_C", cJSON_CreateNumber(mVars[201]));</v>
      </c>
    </row>
    <row r="204" spans="3:16">
      <c r="C204" s="1">
        <v>202</v>
      </c>
      <c r="D204" s="1" t="str">
        <f t="shared" si="27"/>
        <v>00CA</v>
      </c>
      <c r="E204" t="s">
        <v>225</v>
      </c>
      <c r="H204" t="str">
        <f t="shared" si="29"/>
        <v>#define  VAR_BMS1_CELL7_C  202</v>
      </c>
      <c r="I204" t="str">
        <f t="shared" si="30"/>
        <v>public const byte VAR_BMS1_CELL7_C = 202;</v>
      </c>
      <c r="J204">
        <v>6</v>
      </c>
      <c r="L204" t="str">
        <f t="shared" si="25"/>
        <v>UpdateScanList(VAR_BMS1_CELL7_C, 5000);</v>
      </c>
      <c r="M204" t="str">
        <f t="shared" si="28"/>
        <v>VAR_SetVariable(VAR_BMS1_CELL7_C, Cells[6].Temp_C, validflag);</v>
      </c>
      <c r="N204" t="str">
        <f t="shared" si="31"/>
        <v>COM_AddStreamedVariable(VAR_BMS1_CELL7_C, 1000);</v>
      </c>
      <c r="O204" t="str">
        <f t="shared" si="32"/>
        <v>cJSON_AddItemToObject(Uha, "VAR_BMS1_CELL7_C", cJSON_CreateNumber(mVars[VAR_BMS1_CELL7_C]));</v>
      </c>
      <c r="P204" t="str">
        <f t="shared" si="33"/>
        <v>cJSON_AddItemToObject(Uha, "VAR_BMS1_CELL7_C", cJSON_CreateNumber(mVars[202]));</v>
      </c>
    </row>
    <row r="205" spans="3:16">
      <c r="C205" s="1">
        <v>203</v>
      </c>
      <c r="D205" s="1" t="str">
        <f t="shared" si="27"/>
        <v>00CB</v>
      </c>
      <c r="E205" t="s">
        <v>226</v>
      </c>
      <c r="H205" t="str">
        <f t="shared" si="29"/>
        <v>#define  VAR_BMS1_CELL8_C  203</v>
      </c>
      <c r="I205" t="str">
        <f t="shared" si="30"/>
        <v>public const byte VAR_BMS1_CELL8_C = 203;</v>
      </c>
      <c r="J205">
        <v>7</v>
      </c>
      <c r="L205" t="str">
        <f t="shared" ref="L205:L268" si="34">CONCATENATE("UpdateScanList(",E205, ", 5000);")</f>
        <v>UpdateScanList(VAR_BMS1_CELL8_C, 5000);</v>
      </c>
      <c r="M205" t="str">
        <f t="shared" si="28"/>
        <v>VAR_SetVariable(VAR_BMS1_CELL8_C, Cells[7].Temp_C, validflag);</v>
      </c>
      <c r="N205" t="str">
        <f t="shared" si="31"/>
        <v>COM_AddStreamedVariable(VAR_BMS1_CELL8_C, 1000);</v>
      </c>
      <c r="O205" t="str">
        <f t="shared" si="32"/>
        <v>cJSON_AddItemToObject(Uha, "VAR_BMS1_CELL8_C", cJSON_CreateNumber(mVars[VAR_BMS1_CELL8_C]));</v>
      </c>
      <c r="P205" t="str">
        <f t="shared" si="33"/>
        <v>cJSON_AddItemToObject(Uha, "VAR_BMS1_CELL8_C", cJSON_CreateNumber(mVars[203]));</v>
      </c>
    </row>
    <row r="206" spans="3:16">
      <c r="C206" s="1">
        <v>204</v>
      </c>
      <c r="D206" s="1" t="str">
        <f t="shared" si="27"/>
        <v>00CC</v>
      </c>
      <c r="E206" t="s">
        <v>227</v>
      </c>
      <c r="H206" t="str">
        <f t="shared" si="29"/>
        <v>#define  VAR_BMS1_CELL9_C  204</v>
      </c>
      <c r="I206" t="str">
        <f t="shared" si="30"/>
        <v>public const byte VAR_BMS1_CELL9_C = 204;</v>
      </c>
      <c r="J206">
        <v>8</v>
      </c>
      <c r="L206" t="str">
        <f t="shared" si="34"/>
        <v>UpdateScanList(VAR_BMS1_CELL9_C, 5000);</v>
      </c>
      <c r="M206" t="str">
        <f t="shared" si="28"/>
        <v>VAR_SetVariable(VAR_BMS1_CELL9_C, Cells[8].Temp_C, validflag);</v>
      </c>
      <c r="N206" t="str">
        <f t="shared" si="31"/>
        <v>COM_AddStreamedVariable(VAR_BMS1_CELL9_C, 1000);</v>
      </c>
      <c r="O206" t="str">
        <f t="shared" si="32"/>
        <v>cJSON_AddItemToObject(Uha, "VAR_BMS1_CELL9_C", cJSON_CreateNumber(mVars[VAR_BMS1_CELL9_C]));</v>
      </c>
      <c r="P206" t="str">
        <f t="shared" si="33"/>
        <v>cJSON_AddItemToObject(Uha, "VAR_BMS1_CELL9_C", cJSON_CreateNumber(mVars[204]));</v>
      </c>
    </row>
    <row r="207" spans="3:16">
      <c r="C207" s="1">
        <v>205</v>
      </c>
      <c r="D207" s="1" t="str">
        <f t="shared" si="27"/>
        <v>00CD</v>
      </c>
      <c r="E207" t="s">
        <v>228</v>
      </c>
      <c r="H207" t="str">
        <f t="shared" si="29"/>
        <v>#define  VAR_BMS1_CELL10_C  205</v>
      </c>
      <c r="I207" t="str">
        <f t="shared" si="30"/>
        <v>public const byte VAR_BMS1_CELL10_C = 205;</v>
      </c>
      <c r="J207">
        <v>9</v>
      </c>
      <c r="L207" t="str">
        <f t="shared" si="34"/>
        <v>UpdateScanList(VAR_BMS1_CELL10_C, 5000);</v>
      </c>
      <c r="M207" t="str">
        <f t="shared" si="28"/>
        <v>VAR_SetVariable(VAR_BMS1_CELL10_C, Cells[9].Temp_C, validflag);</v>
      </c>
      <c r="N207" t="str">
        <f t="shared" si="31"/>
        <v>COM_AddStreamedVariable(VAR_BMS1_CELL10_C, 1000);</v>
      </c>
      <c r="O207" t="str">
        <f t="shared" si="32"/>
        <v>cJSON_AddItemToObject(Uha, "VAR_BMS1_CELL10_C", cJSON_CreateNumber(mVars[VAR_BMS1_CELL10_C]));</v>
      </c>
      <c r="P207" t="str">
        <f t="shared" si="33"/>
        <v>cJSON_AddItemToObject(Uha, "VAR_BMS1_CELL10_C", cJSON_CreateNumber(mVars[205]));</v>
      </c>
    </row>
    <row r="208" spans="3:16">
      <c r="C208" s="1">
        <v>206</v>
      </c>
      <c r="D208" s="1" t="str">
        <f t="shared" si="27"/>
        <v>00CE</v>
      </c>
      <c r="E208" t="s">
        <v>229</v>
      </c>
      <c r="H208" t="str">
        <f t="shared" si="29"/>
        <v>#define  VAR_BMS1_CELL11_C  206</v>
      </c>
      <c r="I208" t="str">
        <f t="shared" si="30"/>
        <v>public const byte VAR_BMS1_CELL11_C = 206;</v>
      </c>
      <c r="J208">
        <v>10</v>
      </c>
      <c r="L208" t="str">
        <f t="shared" si="34"/>
        <v>UpdateScanList(VAR_BMS1_CELL11_C, 5000);</v>
      </c>
      <c r="M208" t="str">
        <f t="shared" si="28"/>
        <v>VAR_SetVariable(VAR_BMS1_CELL11_C, Cells[10].Temp_C, validflag);</v>
      </c>
      <c r="N208" t="str">
        <f t="shared" si="31"/>
        <v>COM_AddStreamedVariable(VAR_BMS1_CELL11_C, 1000);</v>
      </c>
      <c r="O208" t="str">
        <f t="shared" si="32"/>
        <v>cJSON_AddItemToObject(Uha, "VAR_BMS1_CELL11_C", cJSON_CreateNumber(mVars[VAR_BMS1_CELL11_C]));</v>
      </c>
      <c r="P208" t="str">
        <f t="shared" si="33"/>
        <v>cJSON_AddItemToObject(Uha, "VAR_BMS1_CELL11_C", cJSON_CreateNumber(mVars[206]));</v>
      </c>
    </row>
    <row r="209" spans="3:16">
      <c r="C209" s="1">
        <v>207</v>
      </c>
      <c r="D209" s="1" t="str">
        <f t="shared" si="27"/>
        <v>00CF</v>
      </c>
      <c r="E209" t="s">
        <v>230</v>
      </c>
      <c r="H209" t="str">
        <f t="shared" si="29"/>
        <v>#define  VAR_BMS1_CELL12_C  207</v>
      </c>
      <c r="I209" t="str">
        <f t="shared" si="30"/>
        <v>public const byte VAR_BMS1_CELL12_C = 207;</v>
      </c>
      <c r="J209">
        <v>11</v>
      </c>
      <c r="L209" t="str">
        <f t="shared" si="34"/>
        <v>UpdateScanList(VAR_BMS1_CELL12_C, 5000);</v>
      </c>
      <c r="M209" t="str">
        <f t="shared" si="28"/>
        <v>VAR_SetVariable(VAR_BMS1_CELL12_C, Cells[11].Temp_C, validflag);</v>
      </c>
      <c r="N209" t="str">
        <f t="shared" si="31"/>
        <v>COM_AddStreamedVariable(VAR_BMS1_CELL12_C, 1000);</v>
      </c>
      <c r="O209" t="str">
        <f t="shared" si="32"/>
        <v>cJSON_AddItemToObject(Uha, "VAR_BMS1_CELL12_C", cJSON_CreateNumber(mVars[VAR_BMS1_CELL12_C]));</v>
      </c>
      <c r="P209" t="str">
        <f t="shared" si="33"/>
        <v>cJSON_AddItemToObject(Uha, "VAR_BMS1_CELL12_C", cJSON_CreateNumber(mVars[207]));</v>
      </c>
    </row>
    <row r="210" spans="3:16">
      <c r="C210" s="1">
        <v>208</v>
      </c>
      <c r="D210" s="1" t="str">
        <f t="shared" si="27"/>
        <v>00D0</v>
      </c>
      <c r="E210" t="s">
        <v>231</v>
      </c>
      <c r="H210" t="str">
        <f t="shared" si="29"/>
        <v>#define  VAR_BMS1_CELL13_C  208</v>
      </c>
      <c r="I210" t="str">
        <f t="shared" si="30"/>
        <v>public const byte VAR_BMS1_CELL13_C = 208;</v>
      </c>
      <c r="J210">
        <v>12</v>
      </c>
      <c r="L210" t="str">
        <f t="shared" si="34"/>
        <v>UpdateScanList(VAR_BMS1_CELL13_C, 5000);</v>
      </c>
      <c r="M210" t="str">
        <f t="shared" si="28"/>
        <v>VAR_SetVariable(VAR_BMS1_CELL13_C, Cells[12].Temp_C, validflag);</v>
      </c>
      <c r="N210" t="str">
        <f t="shared" si="31"/>
        <v>COM_AddStreamedVariable(VAR_BMS1_CELL13_C, 1000);</v>
      </c>
      <c r="O210" t="str">
        <f t="shared" si="32"/>
        <v>cJSON_AddItemToObject(Uha, "VAR_BMS1_CELL13_C", cJSON_CreateNumber(mVars[VAR_BMS1_CELL13_C]));</v>
      </c>
      <c r="P210" t="str">
        <f t="shared" si="33"/>
        <v>cJSON_AddItemToObject(Uha, "VAR_BMS1_CELL13_C", cJSON_CreateNumber(mVars[208]));</v>
      </c>
    </row>
    <row r="211" spans="3:16">
      <c r="C211" s="1">
        <v>209</v>
      </c>
      <c r="D211" s="1" t="str">
        <f t="shared" si="27"/>
        <v>00D1</v>
      </c>
      <c r="E211" t="s">
        <v>232</v>
      </c>
      <c r="H211" t="str">
        <f t="shared" si="29"/>
        <v>#define  VAR_BMS1_CELL14_C  209</v>
      </c>
      <c r="I211" t="str">
        <f t="shared" si="30"/>
        <v>public const byte VAR_BMS1_CELL14_C = 209;</v>
      </c>
      <c r="J211">
        <v>13</v>
      </c>
      <c r="L211" t="str">
        <f t="shared" si="34"/>
        <v>UpdateScanList(VAR_BMS1_CELL14_C, 5000);</v>
      </c>
      <c r="M211" t="str">
        <f t="shared" si="28"/>
        <v>VAR_SetVariable(VAR_BMS1_CELL14_C, Cells[13].Temp_C, validflag);</v>
      </c>
      <c r="N211" t="str">
        <f t="shared" si="31"/>
        <v>COM_AddStreamedVariable(VAR_BMS1_CELL14_C, 1000);</v>
      </c>
      <c r="O211" t="str">
        <f t="shared" si="32"/>
        <v>cJSON_AddItemToObject(Uha, "VAR_BMS1_CELL14_C", cJSON_CreateNumber(mVars[VAR_BMS1_CELL14_C]));</v>
      </c>
      <c r="P211" t="str">
        <f t="shared" si="33"/>
        <v>cJSON_AddItemToObject(Uha, "VAR_BMS1_CELL14_C", cJSON_CreateNumber(mVars[209]));</v>
      </c>
    </row>
    <row r="212" spans="3:16">
      <c r="C212" s="1">
        <v>210</v>
      </c>
      <c r="D212" s="1" t="str">
        <f t="shared" si="27"/>
        <v>00D2</v>
      </c>
      <c r="E212" t="s">
        <v>233</v>
      </c>
      <c r="H212" t="str">
        <f t="shared" si="29"/>
        <v>#define  VAR_BMS1_CELL15_C  210</v>
      </c>
      <c r="I212" t="str">
        <f t="shared" si="30"/>
        <v>public const byte VAR_BMS1_CELL15_C = 210;</v>
      </c>
      <c r="J212">
        <v>14</v>
      </c>
      <c r="L212" t="str">
        <f t="shared" si="34"/>
        <v>UpdateScanList(VAR_BMS1_CELL15_C, 5000);</v>
      </c>
      <c r="M212" t="str">
        <f t="shared" si="28"/>
        <v>VAR_SetVariable(VAR_BMS1_CELL15_C, Cells[14].Temp_C, validflag);</v>
      </c>
      <c r="N212" t="str">
        <f t="shared" si="31"/>
        <v>COM_AddStreamedVariable(VAR_BMS1_CELL15_C, 1000);</v>
      </c>
      <c r="O212" t="str">
        <f t="shared" si="32"/>
        <v>cJSON_AddItemToObject(Uha, "VAR_BMS1_CELL15_C", cJSON_CreateNumber(mVars[VAR_BMS1_CELL15_C]));</v>
      </c>
      <c r="P212" t="str">
        <f t="shared" si="33"/>
        <v>cJSON_AddItemToObject(Uha, "VAR_BMS1_CELL15_C", cJSON_CreateNumber(mVars[210]));</v>
      </c>
    </row>
    <row r="213" spans="3:16">
      <c r="C213" s="1">
        <v>211</v>
      </c>
      <c r="D213" s="1" t="str">
        <f t="shared" si="27"/>
        <v>00D3</v>
      </c>
      <c r="E213" t="s">
        <v>234</v>
      </c>
      <c r="H213" t="str">
        <f t="shared" si="29"/>
        <v>#define  VAR_BMS1_CELL16_C  211</v>
      </c>
      <c r="I213" t="str">
        <f t="shared" si="30"/>
        <v>public const byte VAR_BMS1_CELL16_C = 211;</v>
      </c>
      <c r="J213">
        <v>15</v>
      </c>
      <c r="L213" t="str">
        <f t="shared" si="34"/>
        <v>UpdateScanList(VAR_BMS1_CELL16_C, 5000);</v>
      </c>
      <c r="M213" t="str">
        <f t="shared" si="28"/>
        <v>VAR_SetVariable(VAR_BMS1_CELL16_C, Cells[15].Temp_C, validflag);</v>
      </c>
      <c r="N213" t="str">
        <f t="shared" si="31"/>
        <v>COM_AddStreamedVariable(VAR_BMS1_CELL16_C, 1000);</v>
      </c>
      <c r="O213" t="str">
        <f t="shared" si="32"/>
        <v>cJSON_AddItemToObject(Uha, "VAR_BMS1_CELL16_C", cJSON_CreateNumber(mVars[VAR_BMS1_CELL16_C]));</v>
      </c>
      <c r="P213" t="str">
        <f t="shared" si="33"/>
        <v>cJSON_AddItemToObject(Uha, "VAR_BMS1_CELL16_C", cJSON_CreateNumber(mVars[211]));</v>
      </c>
    </row>
    <row r="214" spans="3:16">
      <c r="C214" s="1">
        <v>212</v>
      </c>
      <c r="D214" s="1" t="str">
        <f t="shared" si="27"/>
        <v>00D4</v>
      </c>
      <c r="L214" t="str">
        <f t="shared" si="34"/>
        <v>UpdateScanList(, 5000);</v>
      </c>
      <c r="N214" t="str">
        <f t="shared" si="31"/>
        <v>COM_AddStreamedVariable(, 1000);</v>
      </c>
      <c r="O214" t="str">
        <f t="shared" si="32"/>
        <v/>
      </c>
    </row>
    <row r="215" spans="3:16">
      <c r="C215" s="1">
        <v>213</v>
      </c>
      <c r="D215" s="1" t="str">
        <f t="shared" si="27"/>
        <v>00D5</v>
      </c>
      <c r="L215" t="str">
        <f t="shared" si="34"/>
        <v>UpdateScanList(, 5000);</v>
      </c>
      <c r="N215" t="str">
        <f t="shared" si="31"/>
        <v>COM_AddStreamedVariable(, 1000);</v>
      </c>
      <c r="O215" t="str">
        <f t="shared" si="32"/>
        <v/>
      </c>
    </row>
    <row r="216" spans="3:16">
      <c r="C216" s="1">
        <v>214</v>
      </c>
      <c r="D216" s="1" t="str">
        <f t="shared" si="27"/>
        <v>00D6</v>
      </c>
      <c r="L216" t="str">
        <f t="shared" si="34"/>
        <v>UpdateScanList(, 5000);</v>
      </c>
      <c r="N216" t="str">
        <f t="shared" si="31"/>
        <v>COM_AddStreamedVariable(, 1000);</v>
      </c>
      <c r="O216" t="str">
        <f t="shared" si="32"/>
        <v/>
      </c>
    </row>
    <row r="217" spans="3:16">
      <c r="C217" s="1">
        <v>215</v>
      </c>
      <c r="D217" s="1" t="str">
        <f t="shared" si="27"/>
        <v>00D7</v>
      </c>
      <c r="L217" t="str">
        <f t="shared" si="34"/>
        <v>UpdateScanList(, 5000);</v>
      </c>
      <c r="N217" t="str">
        <f t="shared" si="31"/>
        <v>COM_AddStreamedVariable(, 1000);</v>
      </c>
      <c r="O217" t="str">
        <f t="shared" si="32"/>
        <v/>
      </c>
    </row>
    <row r="218" spans="3:16">
      <c r="C218" s="1">
        <v>216</v>
      </c>
      <c r="D218" s="1" t="str">
        <f t="shared" si="27"/>
        <v>00D8</v>
      </c>
      <c r="L218" t="str">
        <f t="shared" si="34"/>
        <v>UpdateScanList(, 5000);</v>
      </c>
      <c r="N218" t="str">
        <f t="shared" si="31"/>
        <v>COM_AddStreamedVariable(, 1000);</v>
      </c>
      <c r="O218" t="str">
        <f t="shared" si="32"/>
        <v/>
      </c>
    </row>
    <row r="219" spans="3:16">
      <c r="C219" s="1">
        <v>217</v>
      </c>
      <c r="D219" s="1" t="str">
        <f t="shared" si="27"/>
        <v>00D9</v>
      </c>
      <c r="L219" t="str">
        <f t="shared" si="34"/>
        <v>UpdateScanList(, 5000);</v>
      </c>
      <c r="N219" t="str">
        <f t="shared" si="31"/>
        <v>COM_AddStreamedVariable(, 1000);</v>
      </c>
      <c r="O219" t="str">
        <f t="shared" si="32"/>
        <v/>
      </c>
    </row>
    <row r="220" spans="3:16">
      <c r="C220" s="1">
        <v>218</v>
      </c>
      <c r="D220" s="1" t="str">
        <f t="shared" si="27"/>
        <v>00DA</v>
      </c>
      <c r="L220" t="str">
        <f t="shared" si="34"/>
        <v>UpdateScanList(, 5000);</v>
      </c>
      <c r="N220" t="str">
        <f t="shared" si="31"/>
        <v>COM_AddStreamedVariable(, 1000);</v>
      </c>
      <c r="O220" t="str">
        <f t="shared" si="32"/>
        <v/>
      </c>
    </row>
    <row r="221" spans="3:16">
      <c r="C221" s="1">
        <v>219</v>
      </c>
      <c r="D221" s="1" t="str">
        <f t="shared" si="27"/>
        <v>00DB</v>
      </c>
      <c r="L221" t="str">
        <f t="shared" si="34"/>
        <v>UpdateScanList(, 5000);</v>
      </c>
      <c r="N221" t="str">
        <f t="shared" si="31"/>
        <v>COM_AddStreamedVariable(, 1000);</v>
      </c>
      <c r="O221" t="str">
        <f t="shared" si="32"/>
        <v/>
      </c>
    </row>
    <row r="222" spans="3:16">
      <c r="C222" s="1">
        <v>220</v>
      </c>
      <c r="D222" s="1" t="str">
        <f t="shared" si="27"/>
        <v>00DC</v>
      </c>
      <c r="E222" t="s">
        <v>203</v>
      </c>
      <c r="H222" t="str">
        <f t="shared" si="29"/>
        <v>#define  VAR_BMS2_CELL1_MV  220</v>
      </c>
      <c r="I222" t="str">
        <f t="shared" si="30"/>
        <v>public const byte VAR_BMS2_CELL1_MV = 220;</v>
      </c>
      <c r="J222">
        <v>0</v>
      </c>
      <c r="L222" t="str">
        <f t="shared" si="34"/>
        <v>UpdateScanList(VAR_BMS2_CELL1_MV, 5000);</v>
      </c>
      <c r="M222" t="str">
        <f t="shared" si="26"/>
        <v>VAR_SetVariable(VAR_BMS2_CELL1_MV, Cells[0].Voltage_mV, validflag);</v>
      </c>
      <c r="N222" t="str">
        <f t="shared" si="31"/>
        <v>COM_AddStreamedVariable(VAR_BMS2_CELL1_MV, 1000);</v>
      </c>
      <c r="O222" t="str">
        <f t="shared" si="32"/>
        <v>cJSON_AddItemToObject(Uha, "VAR_BMS2_CELL1_MV", cJSON_CreateNumber(mVars[VAR_BMS2_CELL1_MV]));</v>
      </c>
      <c r="P222" t="str">
        <f t="shared" si="33"/>
        <v>cJSON_AddItemToObject(Uha, "VAR_BMS2_CELL1_MV", cJSON_CreateNumber(mVars[220]));</v>
      </c>
    </row>
    <row r="223" spans="3:16">
      <c r="C223" s="1">
        <v>221</v>
      </c>
      <c r="D223" s="1" t="str">
        <f t="shared" si="27"/>
        <v>00DD</v>
      </c>
      <c r="E223" t="s">
        <v>204</v>
      </c>
      <c r="H223" t="str">
        <f t="shared" si="29"/>
        <v>#define  VAR_BMS2_CELL2_MV  221</v>
      </c>
      <c r="I223" t="str">
        <f t="shared" si="30"/>
        <v>public const byte VAR_BMS2_CELL2_MV = 221;</v>
      </c>
      <c r="J223">
        <v>1</v>
      </c>
      <c r="L223" t="str">
        <f t="shared" si="34"/>
        <v>UpdateScanList(VAR_BMS2_CELL2_MV, 5000);</v>
      </c>
      <c r="M223" t="str">
        <f t="shared" si="26"/>
        <v>VAR_SetVariable(VAR_BMS2_CELL2_MV, Cells[1].Voltage_mV, validflag);</v>
      </c>
      <c r="N223" t="str">
        <f t="shared" si="31"/>
        <v>COM_AddStreamedVariable(VAR_BMS2_CELL2_MV, 1000);</v>
      </c>
      <c r="O223" t="str">
        <f t="shared" si="32"/>
        <v>cJSON_AddItemToObject(Uha, "VAR_BMS2_CELL2_MV", cJSON_CreateNumber(mVars[VAR_BMS2_CELL2_MV]));</v>
      </c>
      <c r="P223" t="str">
        <f t="shared" si="33"/>
        <v>cJSON_AddItemToObject(Uha, "VAR_BMS2_CELL2_MV", cJSON_CreateNumber(mVars[221]));</v>
      </c>
    </row>
    <row r="224" spans="3:16">
      <c r="C224" s="1">
        <v>222</v>
      </c>
      <c r="D224" s="1" t="str">
        <f t="shared" si="27"/>
        <v>00DE</v>
      </c>
      <c r="E224" t="s">
        <v>205</v>
      </c>
      <c r="H224" t="str">
        <f t="shared" si="29"/>
        <v>#define  VAR_BMS2_CELL3_MV  222</v>
      </c>
      <c r="I224" t="str">
        <f t="shared" si="30"/>
        <v>public const byte VAR_BMS2_CELL3_MV = 222;</v>
      </c>
      <c r="J224">
        <v>2</v>
      </c>
      <c r="L224" t="str">
        <f t="shared" si="34"/>
        <v>UpdateScanList(VAR_BMS2_CELL3_MV, 5000);</v>
      </c>
      <c r="M224" t="str">
        <f t="shared" si="26"/>
        <v>VAR_SetVariable(VAR_BMS2_CELL3_MV, Cells[2].Voltage_mV, validflag);</v>
      </c>
      <c r="N224" t="str">
        <f t="shared" si="31"/>
        <v>COM_AddStreamedVariable(VAR_BMS2_CELL3_MV, 1000);</v>
      </c>
      <c r="O224" t="str">
        <f t="shared" si="32"/>
        <v>cJSON_AddItemToObject(Uha, "VAR_BMS2_CELL3_MV", cJSON_CreateNumber(mVars[VAR_BMS2_CELL3_MV]));</v>
      </c>
      <c r="P224" t="str">
        <f t="shared" si="33"/>
        <v>cJSON_AddItemToObject(Uha, "VAR_BMS2_CELL3_MV", cJSON_CreateNumber(mVars[222]));</v>
      </c>
    </row>
    <row r="225" spans="3:16">
      <c r="C225" s="1">
        <v>223</v>
      </c>
      <c r="D225" s="1" t="str">
        <f t="shared" si="27"/>
        <v>00DF</v>
      </c>
      <c r="E225" t="s">
        <v>206</v>
      </c>
      <c r="H225" t="str">
        <f t="shared" si="29"/>
        <v>#define  VAR_BMS2_CELL4_MV  223</v>
      </c>
      <c r="I225" t="str">
        <f t="shared" si="30"/>
        <v>public const byte VAR_BMS2_CELL4_MV = 223;</v>
      </c>
      <c r="J225">
        <v>3</v>
      </c>
      <c r="L225" t="str">
        <f t="shared" si="34"/>
        <v>UpdateScanList(VAR_BMS2_CELL4_MV, 5000);</v>
      </c>
      <c r="M225" t="str">
        <f t="shared" si="26"/>
        <v>VAR_SetVariable(VAR_BMS2_CELL4_MV, Cells[3].Voltage_mV, validflag);</v>
      </c>
      <c r="N225" t="str">
        <f t="shared" si="31"/>
        <v>COM_AddStreamedVariable(VAR_BMS2_CELL4_MV, 1000);</v>
      </c>
      <c r="O225" t="str">
        <f t="shared" si="32"/>
        <v>cJSON_AddItemToObject(Uha, "VAR_BMS2_CELL4_MV", cJSON_CreateNumber(mVars[VAR_BMS2_CELL4_MV]));</v>
      </c>
      <c r="P225" t="str">
        <f t="shared" si="33"/>
        <v>cJSON_AddItemToObject(Uha, "VAR_BMS2_CELL4_MV", cJSON_CreateNumber(mVars[223]));</v>
      </c>
    </row>
    <row r="226" spans="3:16">
      <c r="C226" s="1">
        <v>224</v>
      </c>
      <c r="D226" s="1" t="str">
        <f t="shared" si="27"/>
        <v>00E0</v>
      </c>
      <c r="E226" t="s">
        <v>207</v>
      </c>
      <c r="H226" t="str">
        <f t="shared" si="29"/>
        <v>#define  VAR_BMS2_CELL5_MV  224</v>
      </c>
      <c r="I226" t="str">
        <f t="shared" si="30"/>
        <v>public const byte VAR_BMS2_CELL5_MV = 224;</v>
      </c>
      <c r="J226">
        <v>4</v>
      </c>
      <c r="L226" t="str">
        <f t="shared" si="34"/>
        <v>UpdateScanList(VAR_BMS2_CELL5_MV, 5000);</v>
      </c>
      <c r="M226" t="str">
        <f t="shared" si="26"/>
        <v>VAR_SetVariable(VAR_BMS2_CELL5_MV, Cells[4].Voltage_mV, validflag);</v>
      </c>
      <c r="N226" t="str">
        <f t="shared" si="31"/>
        <v>COM_AddStreamedVariable(VAR_BMS2_CELL5_MV, 1000);</v>
      </c>
      <c r="O226" t="str">
        <f t="shared" si="32"/>
        <v>cJSON_AddItemToObject(Uha, "VAR_BMS2_CELL5_MV", cJSON_CreateNumber(mVars[VAR_BMS2_CELL5_MV]));</v>
      </c>
      <c r="P226" t="str">
        <f t="shared" si="33"/>
        <v>cJSON_AddItemToObject(Uha, "VAR_BMS2_CELL5_MV", cJSON_CreateNumber(mVars[224]));</v>
      </c>
    </row>
    <row r="227" spans="3:16">
      <c r="C227" s="1">
        <v>225</v>
      </c>
      <c r="D227" s="1" t="str">
        <f t="shared" si="27"/>
        <v>00E1</v>
      </c>
      <c r="E227" t="s">
        <v>208</v>
      </c>
      <c r="H227" t="str">
        <f t="shared" si="29"/>
        <v>#define  VAR_BMS2_CELL6_MV  225</v>
      </c>
      <c r="I227" t="str">
        <f t="shared" si="30"/>
        <v>public const byte VAR_BMS2_CELL6_MV = 225;</v>
      </c>
      <c r="J227">
        <v>5</v>
      </c>
      <c r="L227" t="str">
        <f t="shared" si="34"/>
        <v>UpdateScanList(VAR_BMS2_CELL6_MV, 5000);</v>
      </c>
      <c r="M227" t="str">
        <f t="shared" si="26"/>
        <v>VAR_SetVariable(VAR_BMS2_CELL6_MV, Cells[5].Voltage_mV, validflag);</v>
      </c>
      <c r="N227" t="str">
        <f t="shared" si="31"/>
        <v>COM_AddStreamedVariable(VAR_BMS2_CELL6_MV, 1000);</v>
      </c>
      <c r="O227" t="str">
        <f t="shared" si="32"/>
        <v>cJSON_AddItemToObject(Uha, "VAR_BMS2_CELL6_MV", cJSON_CreateNumber(mVars[VAR_BMS2_CELL6_MV]));</v>
      </c>
      <c r="P227" t="str">
        <f t="shared" si="33"/>
        <v>cJSON_AddItemToObject(Uha, "VAR_BMS2_CELL6_MV", cJSON_CreateNumber(mVars[225]));</v>
      </c>
    </row>
    <row r="228" spans="3:16">
      <c r="C228" s="1">
        <v>226</v>
      </c>
      <c r="D228" s="1" t="str">
        <f t="shared" si="27"/>
        <v>00E2</v>
      </c>
      <c r="E228" t="s">
        <v>209</v>
      </c>
      <c r="H228" t="str">
        <f t="shared" si="29"/>
        <v>#define  VAR_BMS2_CELL7_MV  226</v>
      </c>
      <c r="I228" t="str">
        <f t="shared" si="30"/>
        <v>public const byte VAR_BMS2_CELL7_MV = 226;</v>
      </c>
      <c r="J228">
        <v>6</v>
      </c>
      <c r="L228" t="str">
        <f t="shared" si="34"/>
        <v>UpdateScanList(VAR_BMS2_CELL7_MV, 5000);</v>
      </c>
      <c r="M228" t="str">
        <f t="shared" si="26"/>
        <v>VAR_SetVariable(VAR_BMS2_CELL7_MV, Cells[6].Voltage_mV, validflag);</v>
      </c>
      <c r="N228" t="str">
        <f t="shared" si="31"/>
        <v>COM_AddStreamedVariable(VAR_BMS2_CELL7_MV, 1000);</v>
      </c>
      <c r="O228" t="str">
        <f t="shared" si="32"/>
        <v>cJSON_AddItemToObject(Uha, "VAR_BMS2_CELL7_MV", cJSON_CreateNumber(mVars[VAR_BMS2_CELL7_MV]));</v>
      </c>
      <c r="P228" t="str">
        <f t="shared" si="33"/>
        <v>cJSON_AddItemToObject(Uha, "VAR_BMS2_CELL7_MV", cJSON_CreateNumber(mVars[226]));</v>
      </c>
    </row>
    <row r="229" spans="3:16">
      <c r="C229" s="1">
        <v>227</v>
      </c>
      <c r="D229" s="1" t="str">
        <f t="shared" si="27"/>
        <v>00E3</v>
      </c>
      <c r="E229" t="s">
        <v>210</v>
      </c>
      <c r="H229" t="str">
        <f t="shared" si="29"/>
        <v>#define  VAR_BMS2_CELL8_MV  227</v>
      </c>
      <c r="I229" t="str">
        <f t="shared" si="30"/>
        <v>public const byte VAR_BMS2_CELL8_MV = 227;</v>
      </c>
      <c r="J229">
        <v>7</v>
      </c>
      <c r="L229" t="str">
        <f t="shared" si="34"/>
        <v>UpdateScanList(VAR_BMS2_CELL8_MV, 5000);</v>
      </c>
      <c r="M229" t="str">
        <f t="shared" si="26"/>
        <v>VAR_SetVariable(VAR_BMS2_CELL8_MV, Cells[7].Voltage_mV, validflag);</v>
      </c>
      <c r="N229" t="str">
        <f t="shared" si="31"/>
        <v>COM_AddStreamedVariable(VAR_BMS2_CELL8_MV, 1000);</v>
      </c>
      <c r="O229" t="str">
        <f t="shared" si="32"/>
        <v>cJSON_AddItemToObject(Uha, "VAR_BMS2_CELL8_MV", cJSON_CreateNumber(mVars[VAR_BMS2_CELL8_MV]));</v>
      </c>
      <c r="P229" t="str">
        <f t="shared" si="33"/>
        <v>cJSON_AddItemToObject(Uha, "VAR_BMS2_CELL8_MV", cJSON_CreateNumber(mVars[227]));</v>
      </c>
    </row>
    <row r="230" spans="3:16">
      <c r="C230" s="1">
        <v>228</v>
      </c>
      <c r="D230" s="1" t="str">
        <f t="shared" si="27"/>
        <v>00E4</v>
      </c>
      <c r="E230" t="s">
        <v>211</v>
      </c>
      <c r="H230" t="str">
        <f t="shared" si="29"/>
        <v>#define  VAR_BMS2_CELL9_MV  228</v>
      </c>
      <c r="I230" t="str">
        <f t="shared" si="30"/>
        <v>public const byte VAR_BMS2_CELL9_MV = 228;</v>
      </c>
      <c r="J230">
        <v>8</v>
      </c>
      <c r="L230" t="str">
        <f t="shared" si="34"/>
        <v>UpdateScanList(VAR_BMS2_CELL9_MV, 5000);</v>
      </c>
      <c r="M230" t="str">
        <f t="shared" si="26"/>
        <v>VAR_SetVariable(VAR_BMS2_CELL9_MV, Cells[8].Voltage_mV, validflag);</v>
      </c>
      <c r="N230" t="str">
        <f t="shared" si="31"/>
        <v>COM_AddStreamedVariable(VAR_BMS2_CELL9_MV, 1000);</v>
      </c>
      <c r="O230" t="str">
        <f t="shared" si="32"/>
        <v>cJSON_AddItemToObject(Uha, "VAR_BMS2_CELL9_MV", cJSON_CreateNumber(mVars[VAR_BMS2_CELL9_MV]));</v>
      </c>
      <c r="P230" t="str">
        <f t="shared" si="33"/>
        <v>cJSON_AddItemToObject(Uha, "VAR_BMS2_CELL9_MV", cJSON_CreateNumber(mVars[228]));</v>
      </c>
    </row>
    <row r="231" spans="3:16">
      <c r="C231" s="1">
        <v>229</v>
      </c>
      <c r="D231" s="1" t="str">
        <f t="shared" si="27"/>
        <v>00E5</v>
      </c>
      <c r="E231" t="s">
        <v>212</v>
      </c>
      <c r="H231" t="str">
        <f t="shared" si="29"/>
        <v>#define  VAR_BMS2_CELL10_MV  229</v>
      </c>
      <c r="I231" t="str">
        <f t="shared" si="30"/>
        <v>public const byte VAR_BMS2_CELL10_MV = 229;</v>
      </c>
      <c r="J231">
        <v>9</v>
      </c>
      <c r="L231" t="str">
        <f t="shared" si="34"/>
        <v>UpdateScanList(VAR_BMS2_CELL10_MV, 5000);</v>
      </c>
      <c r="M231" t="str">
        <f t="shared" si="26"/>
        <v>VAR_SetVariable(VAR_BMS2_CELL10_MV, Cells[9].Voltage_mV, validflag);</v>
      </c>
      <c r="N231" t="str">
        <f t="shared" si="31"/>
        <v>COM_AddStreamedVariable(VAR_BMS2_CELL10_MV, 1000);</v>
      </c>
      <c r="O231" t="str">
        <f t="shared" si="32"/>
        <v>cJSON_AddItemToObject(Uha, "VAR_BMS2_CELL10_MV", cJSON_CreateNumber(mVars[VAR_BMS2_CELL10_MV]));</v>
      </c>
      <c r="P231" t="str">
        <f t="shared" si="33"/>
        <v>cJSON_AddItemToObject(Uha, "VAR_BMS2_CELL10_MV", cJSON_CreateNumber(mVars[229]));</v>
      </c>
    </row>
    <row r="232" spans="3:16">
      <c r="C232" s="1">
        <v>230</v>
      </c>
      <c r="D232" s="1" t="str">
        <f t="shared" si="27"/>
        <v>00E6</v>
      </c>
      <c r="E232" t="s">
        <v>213</v>
      </c>
      <c r="H232" t="str">
        <f t="shared" si="29"/>
        <v>#define  VAR_BMS2_CELL11_MV  230</v>
      </c>
      <c r="I232" t="str">
        <f t="shared" si="30"/>
        <v>public const byte VAR_BMS2_CELL11_MV = 230;</v>
      </c>
      <c r="J232">
        <v>10</v>
      </c>
      <c r="L232" t="str">
        <f t="shared" si="34"/>
        <v>UpdateScanList(VAR_BMS2_CELL11_MV, 5000);</v>
      </c>
      <c r="M232" t="str">
        <f t="shared" si="26"/>
        <v>VAR_SetVariable(VAR_BMS2_CELL11_MV, Cells[10].Voltage_mV, validflag);</v>
      </c>
      <c r="N232" t="str">
        <f t="shared" si="31"/>
        <v>COM_AddStreamedVariable(VAR_BMS2_CELL11_MV, 1000);</v>
      </c>
      <c r="O232" t="str">
        <f t="shared" si="32"/>
        <v>cJSON_AddItemToObject(Uha, "VAR_BMS2_CELL11_MV", cJSON_CreateNumber(mVars[VAR_BMS2_CELL11_MV]));</v>
      </c>
      <c r="P232" t="str">
        <f t="shared" si="33"/>
        <v>cJSON_AddItemToObject(Uha, "VAR_BMS2_CELL11_MV", cJSON_CreateNumber(mVars[230]));</v>
      </c>
    </row>
    <row r="233" spans="3:16">
      <c r="C233" s="1">
        <v>231</v>
      </c>
      <c r="D233" s="1" t="str">
        <f t="shared" si="27"/>
        <v>00E7</v>
      </c>
      <c r="E233" t="s">
        <v>214</v>
      </c>
      <c r="H233" t="str">
        <f t="shared" si="29"/>
        <v>#define  VAR_BMS2_CELL12_MV  231</v>
      </c>
      <c r="I233" t="str">
        <f t="shared" si="30"/>
        <v>public const byte VAR_BMS2_CELL12_MV = 231;</v>
      </c>
      <c r="J233">
        <v>11</v>
      </c>
      <c r="L233" t="str">
        <f t="shared" si="34"/>
        <v>UpdateScanList(VAR_BMS2_CELL12_MV, 5000);</v>
      </c>
      <c r="M233" t="str">
        <f t="shared" si="26"/>
        <v>VAR_SetVariable(VAR_BMS2_CELL12_MV, Cells[11].Voltage_mV, validflag);</v>
      </c>
      <c r="N233" t="str">
        <f t="shared" si="31"/>
        <v>COM_AddStreamedVariable(VAR_BMS2_CELL12_MV, 1000);</v>
      </c>
      <c r="O233" t="str">
        <f t="shared" si="32"/>
        <v>cJSON_AddItemToObject(Uha, "VAR_BMS2_CELL12_MV", cJSON_CreateNumber(mVars[VAR_BMS2_CELL12_MV]));</v>
      </c>
      <c r="P233" t="str">
        <f t="shared" si="33"/>
        <v>cJSON_AddItemToObject(Uha, "VAR_BMS2_CELL12_MV", cJSON_CreateNumber(mVars[231]));</v>
      </c>
    </row>
    <row r="234" spans="3:16">
      <c r="C234" s="1">
        <v>232</v>
      </c>
      <c r="D234" s="1" t="str">
        <f t="shared" si="27"/>
        <v>00E8</v>
      </c>
      <c r="E234" t="s">
        <v>215</v>
      </c>
      <c r="H234" t="str">
        <f t="shared" si="29"/>
        <v>#define  VAR_BMS2_CELL13_MV  232</v>
      </c>
      <c r="I234" t="str">
        <f t="shared" si="30"/>
        <v>public const byte VAR_BMS2_CELL13_MV = 232;</v>
      </c>
      <c r="J234">
        <v>12</v>
      </c>
      <c r="L234" t="str">
        <f t="shared" si="34"/>
        <v>UpdateScanList(VAR_BMS2_CELL13_MV, 5000);</v>
      </c>
      <c r="M234" t="str">
        <f t="shared" si="26"/>
        <v>VAR_SetVariable(VAR_BMS2_CELL13_MV, Cells[12].Voltage_mV, validflag);</v>
      </c>
      <c r="N234" t="str">
        <f t="shared" si="31"/>
        <v>COM_AddStreamedVariable(VAR_BMS2_CELL13_MV, 1000);</v>
      </c>
      <c r="O234" t="str">
        <f t="shared" si="32"/>
        <v>cJSON_AddItemToObject(Uha, "VAR_BMS2_CELL13_MV", cJSON_CreateNumber(mVars[VAR_BMS2_CELL13_MV]));</v>
      </c>
      <c r="P234" t="str">
        <f t="shared" si="33"/>
        <v>cJSON_AddItemToObject(Uha, "VAR_BMS2_CELL13_MV", cJSON_CreateNumber(mVars[232]));</v>
      </c>
    </row>
    <row r="235" spans="3:16">
      <c r="C235" s="1">
        <v>233</v>
      </c>
      <c r="D235" s="1" t="str">
        <f t="shared" si="27"/>
        <v>00E9</v>
      </c>
      <c r="E235" t="s">
        <v>216</v>
      </c>
      <c r="H235" t="str">
        <f t="shared" si="29"/>
        <v>#define  VAR_BMS2_CELL14_MV  233</v>
      </c>
      <c r="I235" t="str">
        <f t="shared" si="30"/>
        <v>public const byte VAR_BMS2_CELL14_MV = 233;</v>
      </c>
      <c r="J235">
        <v>13</v>
      </c>
      <c r="L235" t="str">
        <f t="shared" si="34"/>
        <v>UpdateScanList(VAR_BMS2_CELL14_MV, 5000);</v>
      </c>
      <c r="M235" t="str">
        <f t="shared" si="26"/>
        <v>VAR_SetVariable(VAR_BMS2_CELL14_MV, Cells[13].Voltage_mV, validflag);</v>
      </c>
      <c r="N235" t="str">
        <f t="shared" si="31"/>
        <v>COM_AddStreamedVariable(VAR_BMS2_CELL14_MV, 1000);</v>
      </c>
      <c r="O235" t="str">
        <f t="shared" si="32"/>
        <v>cJSON_AddItemToObject(Uha, "VAR_BMS2_CELL14_MV", cJSON_CreateNumber(mVars[VAR_BMS2_CELL14_MV]));</v>
      </c>
      <c r="P235" t="str">
        <f t="shared" si="33"/>
        <v>cJSON_AddItemToObject(Uha, "VAR_BMS2_CELL14_MV", cJSON_CreateNumber(mVars[233]));</v>
      </c>
    </row>
    <row r="236" spans="3:16">
      <c r="C236" s="1">
        <v>234</v>
      </c>
      <c r="D236" s="1" t="str">
        <f t="shared" si="27"/>
        <v>00EA</v>
      </c>
      <c r="E236" t="s">
        <v>217</v>
      </c>
      <c r="H236" t="str">
        <f t="shared" si="29"/>
        <v>#define  VAR_BMS2_CELL15_MV  234</v>
      </c>
      <c r="I236" t="str">
        <f t="shared" si="30"/>
        <v>public const byte VAR_BMS2_CELL15_MV = 234;</v>
      </c>
      <c r="J236">
        <v>14</v>
      </c>
      <c r="L236" t="str">
        <f t="shared" si="34"/>
        <v>UpdateScanList(VAR_BMS2_CELL15_MV, 5000);</v>
      </c>
      <c r="M236" t="str">
        <f t="shared" si="26"/>
        <v>VAR_SetVariable(VAR_BMS2_CELL15_MV, Cells[14].Voltage_mV, validflag);</v>
      </c>
      <c r="N236" t="str">
        <f t="shared" si="31"/>
        <v>COM_AddStreamedVariable(VAR_BMS2_CELL15_MV, 1000);</v>
      </c>
      <c r="O236" t="str">
        <f t="shared" si="32"/>
        <v>cJSON_AddItemToObject(Uha, "VAR_BMS2_CELL15_MV", cJSON_CreateNumber(mVars[VAR_BMS2_CELL15_MV]));</v>
      </c>
      <c r="P236" t="str">
        <f t="shared" si="33"/>
        <v>cJSON_AddItemToObject(Uha, "VAR_BMS2_CELL15_MV", cJSON_CreateNumber(mVars[234]));</v>
      </c>
    </row>
    <row r="237" spans="3:16">
      <c r="C237" s="1">
        <v>235</v>
      </c>
      <c r="D237" s="1" t="str">
        <f t="shared" si="27"/>
        <v>00EB</v>
      </c>
      <c r="E237" t="s">
        <v>218</v>
      </c>
      <c r="H237" t="str">
        <f t="shared" si="29"/>
        <v>#define  VAR_BMS2_CELL16_MV  235</v>
      </c>
      <c r="I237" t="str">
        <f t="shared" si="30"/>
        <v>public const byte VAR_BMS2_CELL16_MV = 235;</v>
      </c>
      <c r="J237">
        <v>15</v>
      </c>
      <c r="L237" t="str">
        <f t="shared" si="34"/>
        <v>UpdateScanList(VAR_BMS2_CELL16_MV, 5000);</v>
      </c>
      <c r="M237" t="str">
        <f t="shared" si="26"/>
        <v>VAR_SetVariable(VAR_BMS2_CELL16_MV, Cells[15].Voltage_mV, validflag);</v>
      </c>
      <c r="N237" t="str">
        <f t="shared" si="31"/>
        <v>COM_AddStreamedVariable(VAR_BMS2_CELL16_MV, 1000);</v>
      </c>
      <c r="O237" t="str">
        <f t="shared" si="32"/>
        <v>cJSON_AddItemToObject(Uha, "VAR_BMS2_CELL16_MV", cJSON_CreateNumber(mVars[VAR_BMS2_CELL16_MV]));</v>
      </c>
      <c r="P237" t="str">
        <f t="shared" si="33"/>
        <v>cJSON_AddItemToObject(Uha, "VAR_BMS2_CELL16_MV", cJSON_CreateNumber(mVars[235]));</v>
      </c>
    </row>
    <row r="238" spans="3:16">
      <c r="C238" s="1">
        <v>236</v>
      </c>
      <c r="D238" s="1" t="str">
        <f t="shared" si="27"/>
        <v>00EC</v>
      </c>
      <c r="E238" t="s">
        <v>235</v>
      </c>
      <c r="H238" t="str">
        <f t="shared" si="29"/>
        <v>#define  VAR_BMS2_CELL1_C  236</v>
      </c>
      <c r="I238" t="str">
        <f t="shared" si="30"/>
        <v>public const byte VAR_BMS2_CELL1_C = 236;</v>
      </c>
      <c r="J238">
        <v>0</v>
      </c>
      <c r="L238" t="str">
        <f t="shared" si="34"/>
        <v>UpdateScanList(VAR_BMS2_CELL1_C, 5000);</v>
      </c>
      <c r="M238" t="str">
        <f>CONCATENATE("VAR_SetVariable(",E238,", Cells[",J238,"].Temp_C", ", validflag);")</f>
        <v>VAR_SetVariable(VAR_BMS2_CELL1_C, Cells[0].Temp_C, validflag);</v>
      </c>
      <c r="N238" t="str">
        <f t="shared" si="31"/>
        <v>COM_AddStreamedVariable(VAR_BMS2_CELL1_C, 1000);</v>
      </c>
      <c r="O238" t="str">
        <f t="shared" si="32"/>
        <v>cJSON_AddItemToObject(Uha, "VAR_BMS2_CELL1_C", cJSON_CreateNumber(mVars[VAR_BMS2_CELL1_C]));</v>
      </c>
      <c r="P238" t="str">
        <f t="shared" si="33"/>
        <v>cJSON_AddItemToObject(Uha, "VAR_BMS2_CELL1_C", cJSON_CreateNumber(mVars[236]));</v>
      </c>
    </row>
    <row r="239" spans="3:16">
      <c r="C239" s="1">
        <v>237</v>
      </c>
      <c r="D239" s="1" t="str">
        <f t="shared" si="27"/>
        <v>00ED</v>
      </c>
      <c r="E239" t="s">
        <v>236</v>
      </c>
      <c r="H239" t="str">
        <f t="shared" si="29"/>
        <v>#define  VAR_BMS2_CELL2_C  237</v>
      </c>
      <c r="I239" t="str">
        <f t="shared" si="30"/>
        <v>public const byte VAR_BMS2_CELL2_C = 237;</v>
      </c>
      <c r="J239">
        <v>1</v>
      </c>
      <c r="L239" t="str">
        <f t="shared" si="34"/>
        <v>UpdateScanList(VAR_BMS2_CELL2_C, 5000);</v>
      </c>
      <c r="M239" t="str">
        <f t="shared" ref="M239:M297" si="35">CONCATENATE("VAR_SetVariable(",E239,", Cells[",J239,"].Temp_C", ", validflag);")</f>
        <v>VAR_SetVariable(VAR_BMS2_CELL2_C, Cells[1].Temp_C, validflag);</v>
      </c>
      <c r="N239" t="str">
        <f t="shared" si="31"/>
        <v>COM_AddStreamedVariable(VAR_BMS2_CELL2_C, 1000);</v>
      </c>
      <c r="O239" t="str">
        <f t="shared" si="32"/>
        <v>cJSON_AddItemToObject(Uha, "VAR_BMS2_CELL2_C", cJSON_CreateNumber(mVars[VAR_BMS2_CELL2_C]));</v>
      </c>
      <c r="P239" t="str">
        <f t="shared" si="33"/>
        <v>cJSON_AddItemToObject(Uha, "VAR_BMS2_CELL2_C", cJSON_CreateNumber(mVars[237]));</v>
      </c>
    </row>
    <row r="240" spans="3:16">
      <c r="C240" s="1">
        <v>238</v>
      </c>
      <c r="D240" s="1" t="str">
        <f t="shared" si="27"/>
        <v>00EE</v>
      </c>
      <c r="E240" t="s">
        <v>237</v>
      </c>
      <c r="H240" t="str">
        <f t="shared" si="29"/>
        <v>#define  VAR_BMS2_CELL3_C  238</v>
      </c>
      <c r="I240" t="str">
        <f t="shared" si="30"/>
        <v>public const byte VAR_BMS2_CELL3_C = 238;</v>
      </c>
      <c r="J240">
        <v>2</v>
      </c>
      <c r="L240" t="str">
        <f t="shared" si="34"/>
        <v>UpdateScanList(VAR_BMS2_CELL3_C, 5000);</v>
      </c>
      <c r="M240" t="str">
        <f t="shared" si="35"/>
        <v>VAR_SetVariable(VAR_BMS2_CELL3_C, Cells[2].Temp_C, validflag);</v>
      </c>
      <c r="N240" t="str">
        <f t="shared" si="31"/>
        <v>COM_AddStreamedVariable(VAR_BMS2_CELL3_C, 1000);</v>
      </c>
      <c r="O240" t="str">
        <f t="shared" si="32"/>
        <v>cJSON_AddItemToObject(Uha, "VAR_BMS2_CELL3_C", cJSON_CreateNumber(mVars[VAR_BMS2_CELL3_C]));</v>
      </c>
      <c r="P240" t="str">
        <f t="shared" si="33"/>
        <v>cJSON_AddItemToObject(Uha, "VAR_BMS2_CELL3_C", cJSON_CreateNumber(mVars[238]));</v>
      </c>
    </row>
    <row r="241" spans="3:16">
      <c r="C241" s="1">
        <v>239</v>
      </c>
      <c r="D241" s="1" t="str">
        <f t="shared" si="27"/>
        <v>00EF</v>
      </c>
      <c r="E241" t="s">
        <v>238</v>
      </c>
      <c r="H241" t="str">
        <f t="shared" si="29"/>
        <v>#define  VAR_BMS2_CELL4_C  239</v>
      </c>
      <c r="I241" t="str">
        <f t="shared" si="30"/>
        <v>public const byte VAR_BMS2_CELL4_C = 239;</v>
      </c>
      <c r="J241">
        <v>3</v>
      </c>
      <c r="L241" t="str">
        <f t="shared" si="34"/>
        <v>UpdateScanList(VAR_BMS2_CELL4_C, 5000);</v>
      </c>
      <c r="M241" t="str">
        <f t="shared" si="35"/>
        <v>VAR_SetVariable(VAR_BMS2_CELL4_C, Cells[3].Temp_C, validflag);</v>
      </c>
      <c r="N241" t="str">
        <f t="shared" si="31"/>
        <v>COM_AddStreamedVariable(VAR_BMS2_CELL4_C, 1000);</v>
      </c>
      <c r="O241" t="str">
        <f t="shared" si="32"/>
        <v>cJSON_AddItemToObject(Uha, "VAR_BMS2_CELL4_C", cJSON_CreateNumber(mVars[VAR_BMS2_CELL4_C]));</v>
      </c>
      <c r="P241" t="str">
        <f t="shared" si="33"/>
        <v>cJSON_AddItemToObject(Uha, "VAR_BMS2_CELL4_C", cJSON_CreateNumber(mVars[239]));</v>
      </c>
    </row>
    <row r="242" spans="3:16">
      <c r="C242" s="1">
        <v>240</v>
      </c>
      <c r="D242" s="1" t="str">
        <f t="shared" si="27"/>
        <v>00F0</v>
      </c>
      <c r="E242" t="s">
        <v>239</v>
      </c>
      <c r="H242" t="str">
        <f t="shared" si="29"/>
        <v>#define  VAR_BMS2_CELL5_C  240</v>
      </c>
      <c r="I242" t="str">
        <f t="shared" si="30"/>
        <v>public const byte VAR_BMS2_CELL5_C = 240;</v>
      </c>
      <c r="J242">
        <v>4</v>
      </c>
      <c r="L242" t="str">
        <f t="shared" si="34"/>
        <v>UpdateScanList(VAR_BMS2_CELL5_C, 5000);</v>
      </c>
      <c r="M242" t="str">
        <f t="shared" si="35"/>
        <v>VAR_SetVariable(VAR_BMS2_CELL5_C, Cells[4].Temp_C, validflag);</v>
      </c>
      <c r="N242" t="str">
        <f t="shared" si="31"/>
        <v>COM_AddStreamedVariable(VAR_BMS2_CELL5_C, 1000);</v>
      </c>
      <c r="O242" t="str">
        <f t="shared" si="32"/>
        <v>cJSON_AddItemToObject(Uha, "VAR_BMS2_CELL5_C", cJSON_CreateNumber(mVars[VAR_BMS2_CELL5_C]));</v>
      </c>
      <c r="P242" t="str">
        <f t="shared" si="33"/>
        <v>cJSON_AddItemToObject(Uha, "VAR_BMS2_CELL5_C", cJSON_CreateNumber(mVars[240]));</v>
      </c>
    </row>
    <row r="243" spans="3:16">
      <c r="C243" s="1">
        <v>241</v>
      </c>
      <c r="D243" s="1" t="str">
        <f t="shared" si="27"/>
        <v>00F1</v>
      </c>
      <c r="E243" t="s">
        <v>240</v>
      </c>
      <c r="H243" t="str">
        <f t="shared" si="29"/>
        <v>#define  VAR_BMS2_CELL6_C  241</v>
      </c>
      <c r="I243" t="str">
        <f t="shared" si="30"/>
        <v>public const byte VAR_BMS2_CELL6_C = 241;</v>
      </c>
      <c r="J243">
        <v>5</v>
      </c>
      <c r="L243" t="str">
        <f t="shared" si="34"/>
        <v>UpdateScanList(VAR_BMS2_CELL6_C, 5000);</v>
      </c>
      <c r="M243" t="str">
        <f t="shared" si="35"/>
        <v>VAR_SetVariable(VAR_BMS2_CELL6_C, Cells[5].Temp_C, validflag);</v>
      </c>
      <c r="N243" t="str">
        <f t="shared" si="31"/>
        <v>COM_AddStreamedVariable(VAR_BMS2_CELL6_C, 1000);</v>
      </c>
      <c r="O243" t="str">
        <f t="shared" si="32"/>
        <v>cJSON_AddItemToObject(Uha, "VAR_BMS2_CELL6_C", cJSON_CreateNumber(mVars[VAR_BMS2_CELL6_C]));</v>
      </c>
      <c r="P243" t="str">
        <f t="shared" si="33"/>
        <v>cJSON_AddItemToObject(Uha, "VAR_BMS2_CELL6_C", cJSON_CreateNumber(mVars[241]));</v>
      </c>
    </row>
    <row r="244" spans="3:16">
      <c r="C244" s="1">
        <v>242</v>
      </c>
      <c r="D244" s="1" t="str">
        <f t="shared" si="27"/>
        <v>00F2</v>
      </c>
      <c r="E244" t="s">
        <v>241</v>
      </c>
      <c r="H244" t="str">
        <f t="shared" si="29"/>
        <v>#define  VAR_BMS2_CELL7_C  242</v>
      </c>
      <c r="I244" t="str">
        <f t="shared" si="30"/>
        <v>public const byte VAR_BMS2_CELL7_C = 242;</v>
      </c>
      <c r="J244">
        <v>6</v>
      </c>
      <c r="L244" t="str">
        <f t="shared" si="34"/>
        <v>UpdateScanList(VAR_BMS2_CELL7_C, 5000);</v>
      </c>
      <c r="M244" t="str">
        <f t="shared" si="35"/>
        <v>VAR_SetVariable(VAR_BMS2_CELL7_C, Cells[6].Temp_C, validflag);</v>
      </c>
      <c r="N244" t="str">
        <f t="shared" si="31"/>
        <v>COM_AddStreamedVariable(VAR_BMS2_CELL7_C, 1000);</v>
      </c>
      <c r="O244" t="str">
        <f t="shared" si="32"/>
        <v>cJSON_AddItemToObject(Uha, "VAR_BMS2_CELL7_C", cJSON_CreateNumber(mVars[VAR_BMS2_CELL7_C]));</v>
      </c>
      <c r="P244" t="str">
        <f t="shared" si="33"/>
        <v>cJSON_AddItemToObject(Uha, "VAR_BMS2_CELL7_C", cJSON_CreateNumber(mVars[242]));</v>
      </c>
    </row>
    <row r="245" spans="3:16">
      <c r="C245" s="1">
        <v>243</v>
      </c>
      <c r="D245" s="1" t="str">
        <f t="shared" si="27"/>
        <v>00F3</v>
      </c>
      <c r="E245" t="s">
        <v>242</v>
      </c>
      <c r="H245" t="str">
        <f t="shared" si="29"/>
        <v>#define  VAR_BMS2_CELL8_C  243</v>
      </c>
      <c r="I245" t="str">
        <f t="shared" si="30"/>
        <v>public const byte VAR_BMS2_CELL8_C = 243;</v>
      </c>
      <c r="J245">
        <v>7</v>
      </c>
      <c r="L245" t="str">
        <f t="shared" si="34"/>
        <v>UpdateScanList(VAR_BMS2_CELL8_C, 5000);</v>
      </c>
      <c r="M245" t="str">
        <f t="shared" si="35"/>
        <v>VAR_SetVariable(VAR_BMS2_CELL8_C, Cells[7].Temp_C, validflag);</v>
      </c>
      <c r="N245" t="str">
        <f t="shared" si="31"/>
        <v>COM_AddStreamedVariable(VAR_BMS2_CELL8_C, 1000);</v>
      </c>
      <c r="O245" t="str">
        <f t="shared" si="32"/>
        <v>cJSON_AddItemToObject(Uha, "VAR_BMS2_CELL8_C", cJSON_CreateNumber(mVars[VAR_BMS2_CELL8_C]));</v>
      </c>
      <c r="P245" t="str">
        <f t="shared" si="33"/>
        <v>cJSON_AddItemToObject(Uha, "VAR_BMS2_CELL8_C", cJSON_CreateNumber(mVars[243]));</v>
      </c>
    </row>
    <row r="246" spans="3:16">
      <c r="C246" s="1">
        <v>244</v>
      </c>
      <c r="D246" s="1" t="str">
        <f t="shared" si="27"/>
        <v>00F4</v>
      </c>
      <c r="E246" t="s">
        <v>243</v>
      </c>
      <c r="H246" t="str">
        <f t="shared" si="29"/>
        <v>#define  VAR_BMS2_CELL9_C  244</v>
      </c>
      <c r="I246" t="str">
        <f t="shared" si="30"/>
        <v>public const byte VAR_BMS2_CELL9_C = 244;</v>
      </c>
      <c r="J246">
        <v>8</v>
      </c>
      <c r="L246" t="str">
        <f t="shared" si="34"/>
        <v>UpdateScanList(VAR_BMS2_CELL9_C, 5000);</v>
      </c>
      <c r="M246" t="str">
        <f t="shared" si="35"/>
        <v>VAR_SetVariable(VAR_BMS2_CELL9_C, Cells[8].Temp_C, validflag);</v>
      </c>
      <c r="N246" t="str">
        <f t="shared" si="31"/>
        <v>COM_AddStreamedVariable(VAR_BMS2_CELL9_C, 1000);</v>
      </c>
      <c r="O246" t="str">
        <f t="shared" si="32"/>
        <v>cJSON_AddItemToObject(Uha, "VAR_BMS2_CELL9_C", cJSON_CreateNumber(mVars[VAR_BMS2_CELL9_C]));</v>
      </c>
      <c r="P246" t="str">
        <f t="shared" si="33"/>
        <v>cJSON_AddItemToObject(Uha, "VAR_BMS2_CELL9_C", cJSON_CreateNumber(mVars[244]));</v>
      </c>
    </row>
    <row r="247" spans="3:16">
      <c r="C247" s="1">
        <v>245</v>
      </c>
      <c r="D247" s="1" t="str">
        <f t="shared" si="27"/>
        <v>00F5</v>
      </c>
      <c r="E247" t="s">
        <v>244</v>
      </c>
      <c r="H247" t="str">
        <f t="shared" si="29"/>
        <v>#define  VAR_BMS2_CELL10_C  245</v>
      </c>
      <c r="I247" t="str">
        <f t="shared" si="30"/>
        <v>public const byte VAR_BMS2_CELL10_C = 245;</v>
      </c>
      <c r="J247">
        <v>9</v>
      </c>
      <c r="L247" t="str">
        <f t="shared" si="34"/>
        <v>UpdateScanList(VAR_BMS2_CELL10_C, 5000);</v>
      </c>
      <c r="M247" t="str">
        <f t="shared" si="35"/>
        <v>VAR_SetVariable(VAR_BMS2_CELL10_C, Cells[9].Temp_C, validflag);</v>
      </c>
      <c r="N247" t="str">
        <f t="shared" si="31"/>
        <v>COM_AddStreamedVariable(VAR_BMS2_CELL10_C, 1000);</v>
      </c>
      <c r="O247" t="str">
        <f t="shared" si="32"/>
        <v>cJSON_AddItemToObject(Uha, "VAR_BMS2_CELL10_C", cJSON_CreateNumber(mVars[VAR_BMS2_CELL10_C]));</v>
      </c>
      <c r="P247" t="str">
        <f t="shared" si="33"/>
        <v>cJSON_AddItemToObject(Uha, "VAR_BMS2_CELL10_C", cJSON_CreateNumber(mVars[245]));</v>
      </c>
    </row>
    <row r="248" spans="3:16">
      <c r="C248" s="1">
        <v>246</v>
      </c>
      <c r="D248" s="1" t="str">
        <f t="shared" si="27"/>
        <v>00F6</v>
      </c>
      <c r="E248" t="s">
        <v>245</v>
      </c>
      <c r="H248" t="str">
        <f t="shared" si="29"/>
        <v>#define  VAR_BMS2_CELL11_C  246</v>
      </c>
      <c r="I248" t="str">
        <f t="shared" si="30"/>
        <v>public const byte VAR_BMS2_CELL11_C = 246;</v>
      </c>
      <c r="J248">
        <v>10</v>
      </c>
      <c r="L248" t="str">
        <f t="shared" si="34"/>
        <v>UpdateScanList(VAR_BMS2_CELL11_C, 5000);</v>
      </c>
      <c r="M248" t="str">
        <f t="shared" si="35"/>
        <v>VAR_SetVariable(VAR_BMS2_CELL11_C, Cells[10].Temp_C, validflag);</v>
      </c>
      <c r="N248" t="str">
        <f t="shared" si="31"/>
        <v>COM_AddStreamedVariable(VAR_BMS2_CELL11_C, 1000);</v>
      </c>
      <c r="O248" t="str">
        <f t="shared" si="32"/>
        <v>cJSON_AddItemToObject(Uha, "VAR_BMS2_CELL11_C", cJSON_CreateNumber(mVars[VAR_BMS2_CELL11_C]));</v>
      </c>
      <c r="P248" t="str">
        <f t="shared" si="33"/>
        <v>cJSON_AddItemToObject(Uha, "VAR_BMS2_CELL11_C", cJSON_CreateNumber(mVars[246]));</v>
      </c>
    </row>
    <row r="249" spans="3:16">
      <c r="C249" s="1">
        <v>247</v>
      </c>
      <c r="D249" s="1" t="str">
        <f t="shared" si="27"/>
        <v>00F7</v>
      </c>
      <c r="E249" t="s">
        <v>246</v>
      </c>
      <c r="H249" t="str">
        <f t="shared" si="29"/>
        <v>#define  VAR_BMS2_CELL12_C  247</v>
      </c>
      <c r="I249" t="str">
        <f t="shared" si="30"/>
        <v>public const byte VAR_BMS2_CELL12_C = 247;</v>
      </c>
      <c r="J249">
        <v>11</v>
      </c>
      <c r="L249" t="str">
        <f t="shared" si="34"/>
        <v>UpdateScanList(VAR_BMS2_CELL12_C, 5000);</v>
      </c>
      <c r="M249" t="str">
        <f t="shared" si="35"/>
        <v>VAR_SetVariable(VAR_BMS2_CELL12_C, Cells[11].Temp_C, validflag);</v>
      </c>
      <c r="N249" t="str">
        <f t="shared" si="31"/>
        <v>COM_AddStreamedVariable(VAR_BMS2_CELL12_C, 1000);</v>
      </c>
      <c r="O249" t="str">
        <f t="shared" si="32"/>
        <v>cJSON_AddItemToObject(Uha, "VAR_BMS2_CELL12_C", cJSON_CreateNumber(mVars[VAR_BMS2_CELL12_C]));</v>
      </c>
      <c r="P249" t="str">
        <f t="shared" si="33"/>
        <v>cJSON_AddItemToObject(Uha, "VAR_BMS2_CELL12_C", cJSON_CreateNumber(mVars[247]));</v>
      </c>
    </row>
    <row r="250" spans="3:16">
      <c r="C250" s="1">
        <v>248</v>
      </c>
      <c r="D250" s="1" t="str">
        <f t="shared" si="27"/>
        <v>00F8</v>
      </c>
      <c r="E250" t="s">
        <v>247</v>
      </c>
      <c r="H250" t="str">
        <f t="shared" si="29"/>
        <v>#define  VAR_BMS2_CELL13_C  248</v>
      </c>
      <c r="I250" t="str">
        <f t="shared" si="30"/>
        <v>public const byte VAR_BMS2_CELL13_C = 248;</v>
      </c>
      <c r="J250">
        <v>12</v>
      </c>
      <c r="L250" t="str">
        <f t="shared" si="34"/>
        <v>UpdateScanList(VAR_BMS2_CELL13_C, 5000);</v>
      </c>
      <c r="M250" t="str">
        <f t="shared" si="35"/>
        <v>VAR_SetVariable(VAR_BMS2_CELL13_C, Cells[12].Temp_C, validflag);</v>
      </c>
      <c r="N250" t="str">
        <f t="shared" si="31"/>
        <v>COM_AddStreamedVariable(VAR_BMS2_CELL13_C, 1000);</v>
      </c>
      <c r="O250" t="str">
        <f t="shared" si="32"/>
        <v>cJSON_AddItemToObject(Uha, "VAR_BMS2_CELL13_C", cJSON_CreateNumber(mVars[VAR_BMS2_CELL13_C]));</v>
      </c>
      <c r="P250" t="str">
        <f t="shared" si="33"/>
        <v>cJSON_AddItemToObject(Uha, "VAR_BMS2_CELL13_C", cJSON_CreateNumber(mVars[248]));</v>
      </c>
    </row>
    <row r="251" spans="3:16">
      <c r="C251" s="1">
        <v>249</v>
      </c>
      <c r="D251" s="1" t="str">
        <f t="shared" si="27"/>
        <v>00F9</v>
      </c>
      <c r="E251" t="s">
        <v>248</v>
      </c>
      <c r="H251" t="str">
        <f t="shared" si="29"/>
        <v>#define  VAR_BMS2_CELL14_C  249</v>
      </c>
      <c r="I251" t="str">
        <f t="shared" si="30"/>
        <v>public const byte VAR_BMS2_CELL14_C = 249;</v>
      </c>
      <c r="J251">
        <v>13</v>
      </c>
      <c r="L251" t="str">
        <f t="shared" si="34"/>
        <v>UpdateScanList(VAR_BMS2_CELL14_C, 5000);</v>
      </c>
      <c r="M251" t="str">
        <f t="shared" si="35"/>
        <v>VAR_SetVariable(VAR_BMS2_CELL14_C, Cells[13].Temp_C, validflag);</v>
      </c>
      <c r="N251" t="str">
        <f t="shared" si="31"/>
        <v>COM_AddStreamedVariable(VAR_BMS2_CELL14_C, 1000);</v>
      </c>
      <c r="O251" t="str">
        <f t="shared" si="32"/>
        <v>cJSON_AddItemToObject(Uha, "VAR_BMS2_CELL14_C", cJSON_CreateNumber(mVars[VAR_BMS2_CELL14_C]));</v>
      </c>
      <c r="P251" t="str">
        <f t="shared" si="33"/>
        <v>cJSON_AddItemToObject(Uha, "VAR_BMS2_CELL14_C", cJSON_CreateNumber(mVars[249]));</v>
      </c>
    </row>
    <row r="252" spans="3:16">
      <c r="C252" s="1">
        <v>250</v>
      </c>
      <c r="D252" s="1" t="str">
        <f t="shared" si="27"/>
        <v>00FA</v>
      </c>
      <c r="E252" t="s">
        <v>249</v>
      </c>
      <c r="H252" t="str">
        <f t="shared" si="29"/>
        <v>#define  VAR_BMS2_CELL15_C  250</v>
      </c>
      <c r="I252" t="str">
        <f t="shared" si="30"/>
        <v>public const byte VAR_BMS2_CELL15_C = 250;</v>
      </c>
      <c r="J252">
        <v>14</v>
      </c>
      <c r="L252" t="str">
        <f t="shared" si="34"/>
        <v>UpdateScanList(VAR_BMS2_CELL15_C, 5000);</v>
      </c>
      <c r="M252" t="str">
        <f t="shared" si="35"/>
        <v>VAR_SetVariable(VAR_BMS2_CELL15_C, Cells[14].Temp_C, validflag);</v>
      </c>
      <c r="N252" t="str">
        <f t="shared" si="31"/>
        <v>COM_AddStreamedVariable(VAR_BMS2_CELL15_C, 1000);</v>
      </c>
      <c r="O252" t="str">
        <f t="shared" si="32"/>
        <v>cJSON_AddItemToObject(Uha, "VAR_BMS2_CELL15_C", cJSON_CreateNumber(mVars[VAR_BMS2_CELL15_C]));</v>
      </c>
      <c r="P252" t="str">
        <f t="shared" si="33"/>
        <v>cJSON_AddItemToObject(Uha, "VAR_BMS2_CELL15_C", cJSON_CreateNumber(mVars[250]));</v>
      </c>
    </row>
    <row r="253" spans="3:16">
      <c r="C253" s="1">
        <v>251</v>
      </c>
      <c r="D253" s="1" t="str">
        <f t="shared" si="27"/>
        <v>00FB</v>
      </c>
      <c r="E253" t="s">
        <v>250</v>
      </c>
      <c r="H253" t="str">
        <f t="shared" si="29"/>
        <v>#define  VAR_BMS2_CELL16_C  251</v>
      </c>
      <c r="I253" t="str">
        <f t="shared" si="30"/>
        <v>public const byte VAR_BMS2_CELL16_C = 251;</v>
      </c>
      <c r="J253">
        <v>15</v>
      </c>
      <c r="L253" t="str">
        <f t="shared" si="34"/>
        <v>UpdateScanList(VAR_BMS2_CELL16_C, 5000);</v>
      </c>
      <c r="M253" t="str">
        <f t="shared" si="35"/>
        <v>VAR_SetVariable(VAR_BMS2_CELL16_C, Cells[15].Temp_C, validflag);</v>
      </c>
      <c r="N253" t="str">
        <f t="shared" si="31"/>
        <v>COM_AddStreamedVariable(VAR_BMS2_CELL16_C, 1000);</v>
      </c>
      <c r="O253" t="str">
        <f t="shared" si="32"/>
        <v>cJSON_AddItemToObject(Uha, "VAR_BMS2_CELL16_C", cJSON_CreateNumber(mVars[VAR_BMS2_CELL16_C]));</v>
      </c>
      <c r="P253" t="str">
        <f t="shared" si="33"/>
        <v>cJSON_AddItemToObject(Uha, "VAR_BMS2_CELL16_C", cJSON_CreateNumber(mVars[251]));</v>
      </c>
    </row>
    <row r="254" spans="3:16">
      <c r="C254" s="1">
        <v>252</v>
      </c>
      <c r="D254" s="1" t="str">
        <f t="shared" si="27"/>
        <v>00FC</v>
      </c>
      <c r="H254" t="str">
        <f t="shared" si="29"/>
        <v>#define    252</v>
      </c>
      <c r="I254" t="str">
        <f t="shared" si="30"/>
        <v>public const byte  = 252;</v>
      </c>
      <c r="J254">
        <v>16</v>
      </c>
      <c r="L254" t="str">
        <f t="shared" si="34"/>
        <v>UpdateScanList(, 5000);</v>
      </c>
      <c r="M254" t="str">
        <f t="shared" si="35"/>
        <v>VAR_SetVariable(, Cells[16].Temp_C, validflag);</v>
      </c>
      <c r="N254" t="str">
        <f t="shared" si="31"/>
        <v>COM_AddStreamedVariable(, 1000);</v>
      </c>
      <c r="O254" t="str">
        <f t="shared" si="32"/>
        <v/>
      </c>
      <c r="P254" t="str">
        <f t="shared" si="33"/>
        <v>cJSON_AddItemToObject(Uha, "", cJSON_CreateNumber(mVars[252]));</v>
      </c>
    </row>
    <row r="255" spans="3:16">
      <c r="C255" s="1">
        <v>253</v>
      </c>
      <c r="D255" s="1" t="str">
        <f t="shared" si="27"/>
        <v>00FD</v>
      </c>
      <c r="H255" t="str">
        <f t="shared" si="29"/>
        <v>#define    253</v>
      </c>
      <c r="I255" t="str">
        <f t="shared" si="30"/>
        <v>public const byte  = 253;</v>
      </c>
      <c r="J255">
        <v>17</v>
      </c>
      <c r="L255" t="str">
        <f t="shared" si="34"/>
        <v>UpdateScanList(, 5000);</v>
      </c>
      <c r="M255" t="str">
        <f t="shared" si="35"/>
        <v>VAR_SetVariable(, Cells[17].Temp_C, validflag);</v>
      </c>
      <c r="N255" t="str">
        <f t="shared" si="31"/>
        <v>COM_AddStreamedVariable(, 1000);</v>
      </c>
      <c r="O255" t="str">
        <f t="shared" si="32"/>
        <v/>
      </c>
      <c r="P255" t="str">
        <f t="shared" si="33"/>
        <v>cJSON_AddItemToObject(Uha, "", cJSON_CreateNumber(mVars[253]));</v>
      </c>
    </row>
    <row r="256" spans="3:16">
      <c r="C256" s="1">
        <v>254</v>
      </c>
      <c r="D256" s="1" t="str">
        <f t="shared" si="27"/>
        <v>00FE</v>
      </c>
      <c r="H256" t="str">
        <f t="shared" si="29"/>
        <v>#define    254</v>
      </c>
      <c r="I256" t="str">
        <f t="shared" si="30"/>
        <v>public const byte  = 254;</v>
      </c>
      <c r="J256">
        <v>18</v>
      </c>
      <c r="L256" t="str">
        <f t="shared" si="34"/>
        <v>UpdateScanList(, 5000);</v>
      </c>
      <c r="M256" t="str">
        <f t="shared" si="35"/>
        <v>VAR_SetVariable(, Cells[18].Temp_C, validflag);</v>
      </c>
      <c r="N256" t="str">
        <f t="shared" si="31"/>
        <v>COM_AddStreamedVariable(, 1000);</v>
      </c>
      <c r="O256" t="str">
        <f t="shared" si="32"/>
        <v/>
      </c>
      <c r="P256" t="str">
        <f t="shared" si="33"/>
        <v>cJSON_AddItemToObject(Uha, "", cJSON_CreateNumber(mVars[254]));</v>
      </c>
    </row>
    <row r="257" spans="1:16">
      <c r="C257" s="1">
        <v>255</v>
      </c>
      <c r="D257" s="1" t="str">
        <f t="shared" si="27"/>
        <v>00FF</v>
      </c>
      <c r="H257" t="str">
        <f t="shared" si="29"/>
        <v>#define    255</v>
      </c>
      <c r="I257" t="str">
        <f t="shared" si="30"/>
        <v>public const byte  = 255;</v>
      </c>
      <c r="J257">
        <v>19</v>
      </c>
      <c r="L257" t="str">
        <f t="shared" si="34"/>
        <v>UpdateScanList(, 5000);</v>
      </c>
      <c r="M257" t="str">
        <f t="shared" si="35"/>
        <v>VAR_SetVariable(, Cells[19].Temp_C, validflag);</v>
      </c>
      <c r="N257" t="str">
        <f t="shared" si="31"/>
        <v>COM_AddStreamedVariable(, 1000);</v>
      </c>
      <c r="O257" t="str">
        <f t="shared" si="32"/>
        <v/>
      </c>
      <c r="P257" t="str">
        <f t="shared" si="33"/>
        <v>cJSON_AddItemToObject(Uha, "", cJSON_CreateNumber(mVars[255]));</v>
      </c>
    </row>
    <row r="258" spans="1:16">
      <c r="C258" s="1">
        <v>256</v>
      </c>
      <c r="D258" s="1" t="str">
        <f>DEC2HEX(C258,4)</f>
        <v>0100</v>
      </c>
      <c r="H258" t="str">
        <f t="shared" si="29"/>
        <v>#define    256</v>
      </c>
      <c r="I258" t="str">
        <f t="shared" si="30"/>
        <v>public const byte  = 256;</v>
      </c>
      <c r="J258">
        <v>20</v>
      </c>
      <c r="L258" t="str">
        <f t="shared" si="34"/>
        <v>UpdateScanList(, 5000);</v>
      </c>
      <c r="M258" t="str">
        <f t="shared" si="35"/>
        <v>VAR_SetVariable(, Cells[20].Temp_C, validflag);</v>
      </c>
      <c r="N258" t="str">
        <f t="shared" si="31"/>
        <v>COM_AddStreamedVariable(, 1000);</v>
      </c>
      <c r="O258" t="str">
        <f t="shared" si="32"/>
        <v/>
      </c>
      <c r="P258" t="str">
        <f t="shared" si="33"/>
        <v>cJSON_AddItemToObject(Uha, "", cJSON_CreateNumber(mVars[256]));</v>
      </c>
    </row>
    <row r="259" spans="1:16">
      <c r="C259" s="1">
        <v>257</v>
      </c>
      <c r="D259" s="1" t="str">
        <f t="shared" ref="D259:D322" si="36">DEC2HEX(C259,4)</f>
        <v>0101</v>
      </c>
      <c r="H259" t="str">
        <f t="shared" si="29"/>
        <v>#define    257</v>
      </c>
      <c r="I259" t="str">
        <f t="shared" si="30"/>
        <v>public const byte  = 257;</v>
      </c>
      <c r="J259">
        <v>21</v>
      </c>
      <c r="L259" t="str">
        <f t="shared" si="34"/>
        <v>UpdateScanList(, 5000);</v>
      </c>
      <c r="M259" t="str">
        <f t="shared" si="35"/>
        <v>VAR_SetVariable(, Cells[21].Temp_C, validflag);</v>
      </c>
      <c r="N259" t="str">
        <f t="shared" si="31"/>
        <v>COM_AddStreamedVariable(, 1000);</v>
      </c>
      <c r="O259" t="str">
        <f t="shared" si="32"/>
        <v/>
      </c>
      <c r="P259" t="str">
        <f t="shared" si="33"/>
        <v>cJSON_AddItemToObject(Uha, "", cJSON_CreateNumber(mVars[257]));</v>
      </c>
    </row>
    <row r="260" spans="1:16">
      <c r="C260" s="1">
        <v>258</v>
      </c>
      <c r="D260" s="1" t="str">
        <f t="shared" si="36"/>
        <v>0102</v>
      </c>
      <c r="H260" t="str">
        <f t="shared" si="29"/>
        <v>#define    258</v>
      </c>
      <c r="I260" t="str">
        <f t="shared" si="30"/>
        <v>public const byte  = 258;</v>
      </c>
      <c r="J260">
        <v>22</v>
      </c>
      <c r="L260" t="str">
        <f t="shared" si="34"/>
        <v>UpdateScanList(, 5000);</v>
      </c>
      <c r="M260" t="str">
        <f t="shared" si="35"/>
        <v>VAR_SetVariable(, Cells[22].Temp_C, validflag);</v>
      </c>
      <c r="N260" t="str">
        <f t="shared" si="31"/>
        <v>COM_AddStreamedVariable(, 1000);</v>
      </c>
      <c r="O260" t="str">
        <f t="shared" si="32"/>
        <v/>
      </c>
      <c r="P260" t="str">
        <f t="shared" si="33"/>
        <v>cJSON_AddItemToObject(Uha, "", cJSON_CreateNumber(mVars[258]));</v>
      </c>
    </row>
    <row r="261" spans="1:16">
      <c r="C261" s="1">
        <v>259</v>
      </c>
      <c r="D261" s="1" t="str">
        <f t="shared" si="36"/>
        <v>0103</v>
      </c>
      <c r="H261" t="str">
        <f t="shared" si="29"/>
        <v>#define    259</v>
      </c>
      <c r="I261" t="str">
        <f t="shared" si="30"/>
        <v>public const byte  = 259;</v>
      </c>
      <c r="J261">
        <v>23</v>
      </c>
      <c r="L261" t="str">
        <f t="shared" si="34"/>
        <v>UpdateScanList(, 5000);</v>
      </c>
      <c r="M261" t="str">
        <f t="shared" si="35"/>
        <v>VAR_SetVariable(, Cells[23].Temp_C, validflag);</v>
      </c>
      <c r="N261" t="str">
        <f t="shared" si="31"/>
        <v>COM_AddStreamedVariable(, 1000);</v>
      </c>
      <c r="O261" t="str">
        <f t="shared" si="32"/>
        <v/>
      </c>
      <c r="P261" t="str">
        <f t="shared" si="33"/>
        <v>cJSON_AddItemToObject(Uha, "", cJSON_CreateNumber(mVars[259]));</v>
      </c>
    </row>
    <row r="262" spans="1:16">
      <c r="C262" s="1">
        <v>260</v>
      </c>
      <c r="D262" s="1" t="str">
        <f t="shared" si="36"/>
        <v>0104</v>
      </c>
      <c r="E262" t="s">
        <v>340</v>
      </c>
      <c r="H262" t="str">
        <f t="shared" si="29"/>
        <v>#define  VAR_CONS_AXPERT_WH  260</v>
      </c>
      <c r="I262" t="str">
        <f t="shared" si="30"/>
        <v>public const byte VAR_CONS_AXPERT_WH = 260;</v>
      </c>
      <c r="J262">
        <v>24</v>
      </c>
      <c r="L262" t="str">
        <f t="shared" si="34"/>
        <v>UpdateScanList(VAR_CONS_AXPERT_WH, 5000);</v>
      </c>
      <c r="M262" t="str">
        <f t="shared" si="35"/>
        <v>VAR_SetVariable(VAR_CONS_AXPERT_WH, Cells[24].Temp_C, validflag);</v>
      </c>
      <c r="N262" t="str">
        <f t="shared" si="31"/>
        <v>COM_AddStreamedVariable(VAR_CONS_AXPERT_WH, 1000);</v>
      </c>
      <c r="O262" t="str">
        <f t="shared" si="32"/>
        <v>cJSON_AddItemToObject(Uha, "VAR_CONS_AXPERT_WH", cJSON_CreateNumber(mVars[VAR_CONS_AXPERT_WH]));</v>
      </c>
      <c r="P262" t="str">
        <f t="shared" si="33"/>
        <v>cJSON_AddItemToObject(Uha, "VAR_CONS_AXPERT_WH", cJSON_CreateNumber(mVars[260]));</v>
      </c>
    </row>
    <row r="263" spans="1:16">
      <c r="C263" s="1">
        <v>261</v>
      </c>
      <c r="D263" s="1" t="str">
        <f t="shared" si="36"/>
        <v>0105</v>
      </c>
      <c r="E263" t="s">
        <v>342</v>
      </c>
      <c r="H263" t="str">
        <f t="shared" si="29"/>
        <v>#define  VAR_CONS_EVSE_WH  261</v>
      </c>
      <c r="I263" t="str">
        <f t="shared" si="30"/>
        <v>public const byte VAR_CONS_EVSE_WH = 261;</v>
      </c>
      <c r="J263">
        <v>25</v>
      </c>
      <c r="L263" t="str">
        <f t="shared" si="34"/>
        <v>UpdateScanList(VAR_CONS_EVSE_WH, 5000);</v>
      </c>
      <c r="M263" t="str">
        <f t="shared" si="35"/>
        <v>VAR_SetVariable(VAR_CONS_EVSE_WH, Cells[25].Temp_C, validflag);</v>
      </c>
      <c r="N263" t="str">
        <f t="shared" si="31"/>
        <v>COM_AddStreamedVariable(VAR_CONS_EVSE_WH, 1000);</v>
      </c>
      <c r="O263" t="str">
        <f t="shared" si="32"/>
        <v>cJSON_AddItemToObject(Uha, "VAR_CONS_EVSE_WH", cJSON_CreateNumber(mVars[VAR_CONS_EVSE_WH]));</v>
      </c>
      <c r="P263" t="str">
        <f t="shared" si="33"/>
        <v>cJSON_AddItemToObject(Uha, "VAR_CONS_EVSE_WH", cJSON_CreateNumber(mVars[261]));</v>
      </c>
    </row>
    <row r="264" spans="1:16">
      <c r="A264" t="s">
        <v>344</v>
      </c>
      <c r="C264" s="1">
        <v>262</v>
      </c>
      <c r="D264" s="1" t="str">
        <f t="shared" si="36"/>
        <v>0106</v>
      </c>
      <c r="E264" t="s">
        <v>343</v>
      </c>
      <c r="H264" t="str">
        <f t="shared" si="29"/>
        <v>#define  VAR_CONS_WS_HEATING_WH  262</v>
      </c>
      <c r="I264" t="str">
        <f t="shared" si="30"/>
        <v>public const byte VAR_CONS_WS_HEATING_WH = 262;</v>
      </c>
      <c r="J264">
        <v>26</v>
      </c>
      <c r="L264" t="str">
        <f t="shared" si="34"/>
        <v>UpdateScanList(VAR_CONS_WS_HEATING_WH, 5000);</v>
      </c>
      <c r="M264" t="str">
        <f t="shared" si="35"/>
        <v>VAR_SetVariable(VAR_CONS_WS_HEATING_WH, Cells[26].Temp_C, validflag);</v>
      </c>
      <c r="N264" t="str">
        <f t="shared" si="31"/>
        <v>COM_AddStreamedVariable(VAR_CONS_WS_HEATING_WH, 1000);</v>
      </c>
      <c r="O264" t="str">
        <f t="shared" si="32"/>
        <v>cJSON_AddItemToObject(Uha, "VAR_CONS_WS_HEATING_WH", cJSON_CreateNumber(mVars[VAR_CONS_WS_HEATING_WH]));</v>
      </c>
      <c r="P264" t="str">
        <f t="shared" si="33"/>
        <v>cJSON_AddItemToObject(Uha, "VAR_CONS_WS_HEATING_WH", cJSON_CreateNumber(mVars[262]));</v>
      </c>
    </row>
    <row r="265" spans="1:16">
      <c r="C265" s="1">
        <v>263</v>
      </c>
      <c r="D265" s="1" t="str">
        <f t="shared" si="36"/>
        <v>0107</v>
      </c>
      <c r="H265" t="str">
        <f t="shared" si="29"/>
        <v>#define    263</v>
      </c>
      <c r="I265" t="str">
        <f t="shared" si="30"/>
        <v>public const byte  = 263;</v>
      </c>
      <c r="J265">
        <v>27</v>
      </c>
      <c r="L265" t="str">
        <f t="shared" si="34"/>
        <v>UpdateScanList(, 5000);</v>
      </c>
      <c r="M265" t="str">
        <f t="shared" si="35"/>
        <v>VAR_SetVariable(, Cells[27].Temp_C, validflag);</v>
      </c>
      <c r="N265" t="str">
        <f t="shared" si="31"/>
        <v>COM_AddStreamedVariable(, 1000);</v>
      </c>
      <c r="O265" t="str">
        <f t="shared" si="32"/>
        <v/>
      </c>
      <c r="P265" t="str">
        <f t="shared" si="33"/>
        <v>cJSON_AddItemToObject(Uha, "", cJSON_CreateNumber(mVars[263]));</v>
      </c>
    </row>
    <row r="266" spans="1:16">
      <c r="C266" s="1">
        <v>264</v>
      </c>
      <c r="D266" s="1" t="str">
        <f t="shared" si="36"/>
        <v>0108</v>
      </c>
      <c r="H266" t="str">
        <f t="shared" si="29"/>
        <v>#define    264</v>
      </c>
      <c r="I266" t="str">
        <f t="shared" si="30"/>
        <v>public const byte  = 264;</v>
      </c>
      <c r="J266">
        <v>28</v>
      </c>
      <c r="L266" t="str">
        <f t="shared" si="34"/>
        <v>UpdateScanList(, 5000);</v>
      </c>
      <c r="M266" t="str">
        <f t="shared" si="35"/>
        <v>VAR_SetVariable(, Cells[28].Temp_C, validflag);</v>
      </c>
      <c r="N266" t="str">
        <f t="shared" si="31"/>
        <v>COM_AddStreamedVariable(, 1000);</v>
      </c>
      <c r="O266" t="str">
        <f t="shared" si="32"/>
        <v/>
      </c>
      <c r="P266" t="str">
        <f t="shared" si="33"/>
        <v>cJSON_AddItemToObject(Uha, "", cJSON_CreateNumber(mVars[264]));</v>
      </c>
    </row>
    <row r="267" spans="1:16">
      <c r="C267" s="1">
        <v>265</v>
      </c>
      <c r="D267" s="1" t="str">
        <f t="shared" si="36"/>
        <v>0109</v>
      </c>
      <c r="H267" t="str">
        <f t="shared" ref="H267:H297" si="37">CONCATENATE("#define  ",E267,"  ",C267)</f>
        <v>#define    265</v>
      </c>
      <c r="I267" t="str">
        <f t="shared" ref="I267:I297" si="38">CONCATENATE("public const byte ",E267," = ",C267,";")</f>
        <v>public const byte  = 265;</v>
      </c>
      <c r="J267">
        <v>29</v>
      </c>
      <c r="L267" t="str">
        <f t="shared" si="34"/>
        <v>UpdateScanList(, 5000);</v>
      </c>
      <c r="M267" t="str">
        <f t="shared" si="35"/>
        <v>VAR_SetVariable(, Cells[29].Temp_C, validflag);</v>
      </c>
      <c r="N267" t="str">
        <f t="shared" ref="N267:N330" si="39">CONCATENATE("COM_AddStreamedVariable(",E267, ", 1000);")</f>
        <v>COM_AddStreamedVariable(, 1000);</v>
      </c>
      <c r="O267" t="str">
        <f t="shared" ref="O267:O297" si="40">IF(ISBLANK(E267),"",CONCATENATE("cJSON_AddItemToObject(Uha, ","""",E267,"""",", cJSON_CreateNumber(mVars[",E267,"]));"))</f>
        <v/>
      </c>
      <c r="P267" t="str">
        <f t="shared" ref="P267:P297" si="41">CONCATENATE("cJSON_AddItemToObject(Uha, ","""",E267,"""",", cJSON_CreateNumber(mVars[",C267,"]));")</f>
        <v>cJSON_AddItemToObject(Uha, "", cJSON_CreateNumber(mVars[265]));</v>
      </c>
    </row>
    <row r="268" spans="1:16">
      <c r="C268" s="1">
        <v>266</v>
      </c>
      <c r="D268" s="1" t="str">
        <f t="shared" si="36"/>
        <v>010A</v>
      </c>
      <c r="H268" t="str">
        <f t="shared" si="37"/>
        <v>#define    266</v>
      </c>
      <c r="I268" t="str">
        <f t="shared" si="38"/>
        <v>public const byte  = 266;</v>
      </c>
      <c r="J268">
        <v>30</v>
      </c>
      <c r="L268" t="str">
        <f t="shared" si="34"/>
        <v>UpdateScanList(, 5000);</v>
      </c>
      <c r="M268" t="str">
        <f t="shared" si="35"/>
        <v>VAR_SetVariable(, Cells[30].Temp_C, validflag);</v>
      </c>
      <c r="N268" t="str">
        <f t="shared" si="39"/>
        <v>COM_AddStreamedVariable(, 1000);</v>
      </c>
      <c r="O268" t="str">
        <f t="shared" si="40"/>
        <v/>
      </c>
      <c r="P268" t="str">
        <f t="shared" si="41"/>
        <v>cJSON_AddItemToObject(Uha, "", cJSON_CreateNumber(mVars[266]));</v>
      </c>
    </row>
    <row r="269" spans="1:16">
      <c r="C269" s="1">
        <v>267</v>
      </c>
      <c r="D269" s="1" t="str">
        <f t="shared" si="36"/>
        <v>010B</v>
      </c>
      <c r="H269" t="str">
        <f t="shared" si="37"/>
        <v>#define    267</v>
      </c>
      <c r="I269" t="str">
        <f t="shared" si="38"/>
        <v>public const byte  = 267;</v>
      </c>
      <c r="J269">
        <v>31</v>
      </c>
      <c r="L269" t="str">
        <f t="shared" ref="L269:L297" si="42">CONCATENATE("UpdateScanList(",E269, ", 5000);")</f>
        <v>UpdateScanList(, 5000);</v>
      </c>
      <c r="M269" t="str">
        <f t="shared" si="35"/>
        <v>VAR_SetVariable(, Cells[31].Temp_C, validflag);</v>
      </c>
      <c r="N269" t="str">
        <f t="shared" si="39"/>
        <v>COM_AddStreamedVariable(, 1000);</v>
      </c>
      <c r="O269" t="str">
        <f t="shared" si="40"/>
        <v/>
      </c>
      <c r="P269" t="str">
        <f t="shared" si="41"/>
        <v>cJSON_AddItemToObject(Uha, "", cJSON_CreateNumber(mVars[267]));</v>
      </c>
    </row>
    <row r="270" spans="1:16">
      <c r="C270" s="1">
        <v>268</v>
      </c>
      <c r="D270" s="1" t="str">
        <f t="shared" si="36"/>
        <v>010C</v>
      </c>
      <c r="H270" t="str">
        <f t="shared" si="37"/>
        <v>#define    268</v>
      </c>
      <c r="I270" t="str">
        <f t="shared" si="38"/>
        <v>public const byte  = 268;</v>
      </c>
      <c r="J270">
        <v>32</v>
      </c>
      <c r="L270" t="str">
        <f t="shared" si="42"/>
        <v>UpdateScanList(, 5000);</v>
      </c>
      <c r="M270" t="str">
        <f t="shared" si="35"/>
        <v>VAR_SetVariable(, Cells[32].Temp_C, validflag);</v>
      </c>
      <c r="N270" t="str">
        <f t="shared" si="39"/>
        <v>COM_AddStreamedVariable(, 1000);</v>
      </c>
      <c r="O270" t="str">
        <f t="shared" si="40"/>
        <v/>
      </c>
      <c r="P270" t="str">
        <f t="shared" si="41"/>
        <v>cJSON_AddItemToObject(Uha, "", cJSON_CreateNumber(mVars[268]));</v>
      </c>
    </row>
    <row r="271" spans="1:16">
      <c r="C271" s="1">
        <v>269</v>
      </c>
      <c r="D271" s="1" t="str">
        <f t="shared" si="36"/>
        <v>010D</v>
      </c>
      <c r="H271" t="str">
        <f t="shared" si="37"/>
        <v>#define    269</v>
      </c>
      <c r="I271" t="str">
        <f t="shared" si="38"/>
        <v>public const byte  = 269;</v>
      </c>
      <c r="J271">
        <v>33</v>
      </c>
      <c r="L271" t="str">
        <f t="shared" si="42"/>
        <v>UpdateScanList(, 5000);</v>
      </c>
      <c r="M271" t="str">
        <f t="shared" si="35"/>
        <v>VAR_SetVariable(, Cells[33].Temp_C, validflag);</v>
      </c>
      <c r="N271" t="str">
        <f t="shared" si="39"/>
        <v>COM_AddStreamedVariable(, 1000);</v>
      </c>
      <c r="O271" t="str">
        <f t="shared" si="40"/>
        <v/>
      </c>
      <c r="P271" t="str">
        <f t="shared" si="41"/>
        <v>cJSON_AddItemToObject(Uha, "", cJSON_CreateNumber(mVars[269]));</v>
      </c>
    </row>
    <row r="272" spans="1:16">
      <c r="C272" s="1">
        <v>270</v>
      </c>
      <c r="D272" s="1" t="str">
        <f t="shared" si="36"/>
        <v>010E</v>
      </c>
      <c r="E272" t="s">
        <v>341</v>
      </c>
      <c r="H272" t="str">
        <f t="shared" si="37"/>
        <v>#define  VAR_POW_AXPERT_W  270</v>
      </c>
      <c r="I272" t="str">
        <f t="shared" si="38"/>
        <v>public const byte VAR_POW_AXPERT_W = 270;</v>
      </c>
      <c r="J272">
        <v>34</v>
      </c>
      <c r="L272" t="str">
        <f t="shared" si="42"/>
        <v>UpdateScanList(VAR_POW_AXPERT_W, 5000);</v>
      </c>
      <c r="M272" t="str">
        <f t="shared" si="35"/>
        <v>VAR_SetVariable(VAR_POW_AXPERT_W, Cells[34].Temp_C, validflag);</v>
      </c>
      <c r="N272" t="str">
        <f t="shared" si="39"/>
        <v>COM_AddStreamedVariable(VAR_POW_AXPERT_W, 1000);</v>
      </c>
      <c r="O272" t="str">
        <f t="shared" si="40"/>
        <v>cJSON_AddItemToObject(Uha, "VAR_POW_AXPERT_W", cJSON_CreateNumber(mVars[VAR_POW_AXPERT_W]));</v>
      </c>
      <c r="P272" t="str">
        <f t="shared" si="41"/>
        <v>cJSON_AddItemToObject(Uha, "VAR_POW_AXPERT_W", cJSON_CreateNumber(mVars[270]));</v>
      </c>
    </row>
    <row r="273" spans="3:16">
      <c r="C273" s="1">
        <v>271</v>
      </c>
      <c r="D273" s="1" t="str">
        <f t="shared" si="36"/>
        <v>010F</v>
      </c>
      <c r="E273" t="s">
        <v>345</v>
      </c>
      <c r="H273" t="str">
        <f t="shared" si="37"/>
        <v>#define  VAR_POW_EVSE_W  271</v>
      </c>
      <c r="I273" t="str">
        <f t="shared" si="38"/>
        <v>public const byte VAR_POW_EVSE_W = 271;</v>
      </c>
      <c r="J273">
        <v>35</v>
      </c>
      <c r="L273" t="str">
        <f t="shared" si="42"/>
        <v>UpdateScanList(VAR_POW_EVSE_W, 5000);</v>
      </c>
      <c r="M273" t="str">
        <f t="shared" si="35"/>
        <v>VAR_SetVariable(VAR_POW_EVSE_W, Cells[35].Temp_C, validflag);</v>
      </c>
      <c r="N273" t="str">
        <f t="shared" si="39"/>
        <v>COM_AddStreamedVariable(VAR_POW_EVSE_W, 1000);</v>
      </c>
      <c r="O273" t="str">
        <f t="shared" si="40"/>
        <v>cJSON_AddItemToObject(Uha, "VAR_POW_EVSE_W", cJSON_CreateNumber(mVars[VAR_POW_EVSE_W]));</v>
      </c>
      <c r="P273" t="str">
        <f t="shared" si="41"/>
        <v>cJSON_AddItemToObject(Uha, "VAR_POW_EVSE_W", cJSON_CreateNumber(mVars[271]));</v>
      </c>
    </row>
    <row r="274" spans="3:16">
      <c r="C274" s="1">
        <v>272</v>
      </c>
      <c r="D274" s="1" t="str">
        <f t="shared" si="36"/>
        <v>0110</v>
      </c>
      <c r="E274" t="s">
        <v>346</v>
      </c>
      <c r="H274" t="str">
        <f t="shared" si="37"/>
        <v>#define  VAR_POW_WS_HEATING_W  272</v>
      </c>
      <c r="I274" t="str">
        <f t="shared" si="38"/>
        <v>public const byte VAR_POW_WS_HEATING_W = 272;</v>
      </c>
      <c r="J274">
        <v>36</v>
      </c>
      <c r="L274" t="str">
        <f t="shared" si="42"/>
        <v>UpdateScanList(VAR_POW_WS_HEATING_W, 5000);</v>
      </c>
      <c r="M274" t="str">
        <f t="shared" si="35"/>
        <v>VAR_SetVariable(VAR_POW_WS_HEATING_W, Cells[36].Temp_C, validflag);</v>
      </c>
      <c r="N274" t="str">
        <f t="shared" si="39"/>
        <v>COM_AddStreamedVariable(VAR_POW_WS_HEATING_W, 1000);</v>
      </c>
      <c r="O274" t="str">
        <f t="shared" si="40"/>
        <v>cJSON_AddItemToObject(Uha, "VAR_POW_WS_HEATING_W", cJSON_CreateNumber(mVars[VAR_POW_WS_HEATING_W]));</v>
      </c>
      <c r="P274" t="str">
        <f t="shared" si="41"/>
        <v>cJSON_AddItemToObject(Uha, "VAR_POW_WS_HEATING_W", cJSON_CreateNumber(mVars[272]));</v>
      </c>
    </row>
    <row r="275" spans="3:16">
      <c r="C275" s="1">
        <v>273</v>
      </c>
      <c r="D275" s="1" t="str">
        <f t="shared" si="36"/>
        <v>0111</v>
      </c>
      <c r="H275" t="str">
        <f t="shared" si="37"/>
        <v>#define    273</v>
      </c>
      <c r="I275" t="str">
        <f t="shared" si="38"/>
        <v>public const byte  = 273;</v>
      </c>
      <c r="J275">
        <v>37</v>
      </c>
      <c r="L275" t="str">
        <f t="shared" si="42"/>
        <v>UpdateScanList(, 5000);</v>
      </c>
      <c r="M275" t="str">
        <f t="shared" si="35"/>
        <v>VAR_SetVariable(, Cells[37].Temp_C, validflag);</v>
      </c>
      <c r="N275" t="str">
        <f t="shared" si="39"/>
        <v>COM_AddStreamedVariable(, 1000);</v>
      </c>
      <c r="O275" t="str">
        <f t="shared" si="40"/>
        <v/>
      </c>
      <c r="P275" t="str">
        <f t="shared" si="41"/>
        <v>cJSON_AddItemToObject(Uha, "", cJSON_CreateNumber(mVars[273]));</v>
      </c>
    </row>
    <row r="276" spans="3:16">
      <c r="C276" s="1">
        <v>274</v>
      </c>
      <c r="D276" s="1" t="str">
        <f t="shared" si="36"/>
        <v>0112</v>
      </c>
      <c r="H276" t="str">
        <f t="shared" si="37"/>
        <v>#define    274</v>
      </c>
      <c r="I276" t="str">
        <f t="shared" si="38"/>
        <v>public const byte  = 274;</v>
      </c>
      <c r="J276">
        <v>38</v>
      </c>
      <c r="L276" t="str">
        <f t="shared" si="42"/>
        <v>UpdateScanList(, 5000);</v>
      </c>
      <c r="M276" t="str">
        <f t="shared" si="35"/>
        <v>VAR_SetVariable(, Cells[38].Temp_C, validflag);</v>
      </c>
      <c r="N276" t="str">
        <f t="shared" si="39"/>
        <v>COM_AddStreamedVariable(, 1000);</v>
      </c>
      <c r="O276" t="str">
        <f t="shared" si="40"/>
        <v/>
      </c>
      <c r="P276" t="str">
        <f t="shared" si="41"/>
        <v>cJSON_AddItemToObject(Uha, "", cJSON_CreateNumber(mVars[274]));</v>
      </c>
    </row>
    <row r="277" spans="3:16">
      <c r="C277" s="1">
        <v>275</v>
      </c>
      <c r="D277" s="1" t="str">
        <f t="shared" si="36"/>
        <v>0113</v>
      </c>
      <c r="H277" t="str">
        <f t="shared" si="37"/>
        <v>#define    275</v>
      </c>
      <c r="I277" t="str">
        <f t="shared" si="38"/>
        <v>public const byte  = 275;</v>
      </c>
      <c r="J277">
        <v>39</v>
      </c>
      <c r="L277" t="str">
        <f t="shared" si="42"/>
        <v>UpdateScanList(, 5000);</v>
      </c>
      <c r="M277" t="str">
        <f t="shared" si="35"/>
        <v>VAR_SetVariable(, Cells[39].Temp_C, validflag);</v>
      </c>
      <c r="N277" t="str">
        <f t="shared" si="39"/>
        <v>COM_AddStreamedVariable(, 1000);</v>
      </c>
      <c r="O277" t="str">
        <f t="shared" si="40"/>
        <v/>
      </c>
      <c r="P277" t="str">
        <f t="shared" si="41"/>
        <v>cJSON_AddItemToObject(Uha, "", cJSON_CreateNumber(mVars[275]));</v>
      </c>
    </row>
    <row r="278" spans="3:16">
      <c r="C278" s="1">
        <v>276</v>
      </c>
      <c r="D278" s="1" t="str">
        <f t="shared" si="36"/>
        <v>0114</v>
      </c>
      <c r="H278" t="str">
        <f t="shared" si="37"/>
        <v>#define    276</v>
      </c>
      <c r="I278" t="str">
        <f t="shared" si="38"/>
        <v>public const byte  = 276;</v>
      </c>
      <c r="J278">
        <v>40</v>
      </c>
      <c r="L278" t="str">
        <f t="shared" si="42"/>
        <v>UpdateScanList(, 5000);</v>
      </c>
      <c r="M278" t="str">
        <f t="shared" si="35"/>
        <v>VAR_SetVariable(, Cells[40].Temp_C, validflag);</v>
      </c>
      <c r="N278" t="str">
        <f t="shared" si="39"/>
        <v>COM_AddStreamedVariable(, 1000);</v>
      </c>
      <c r="O278" t="str">
        <f t="shared" si="40"/>
        <v/>
      </c>
      <c r="P278" t="str">
        <f t="shared" si="41"/>
        <v>cJSON_AddItemToObject(Uha, "", cJSON_CreateNumber(mVars[276]));</v>
      </c>
    </row>
    <row r="279" spans="3:16">
      <c r="C279" s="1">
        <v>277</v>
      </c>
      <c r="D279" s="1" t="str">
        <f t="shared" si="36"/>
        <v>0115</v>
      </c>
      <c r="H279" t="str">
        <f t="shared" si="37"/>
        <v>#define    277</v>
      </c>
      <c r="I279" t="str">
        <f t="shared" si="38"/>
        <v>public const byte  = 277;</v>
      </c>
      <c r="J279">
        <v>41</v>
      </c>
      <c r="L279" t="str">
        <f t="shared" si="42"/>
        <v>UpdateScanList(, 5000);</v>
      </c>
      <c r="M279" t="str">
        <f t="shared" si="35"/>
        <v>VAR_SetVariable(, Cells[41].Temp_C, validflag);</v>
      </c>
      <c r="N279" t="str">
        <f t="shared" si="39"/>
        <v>COM_AddStreamedVariable(, 1000);</v>
      </c>
      <c r="O279" t="str">
        <f t="shared" si="40"/>
        <v/>
      </c>
      <c r="P279" t="str">
        <f t="shared" si="41"/>
        <v>cJSON_AddItemToObject(Uha, "", cJSON_CreateNumber(mVars[277]));</v>
      </c>
    </row>
    <row r="280" spans="3:16">
      <c r="C280" s="1">
        <v>278</v>
      </c>
      <c r="D280" s="1" t="str">
        <f t="shared" si="36"/>
        <v>0116</v>
      </c>
      <c r="E280" t="s">
        <v>437</v>
      </c>
      <c r="H280" t="str">
        <f t="shared" si="37"/>
        <v>#define  VAR_AXPERT_TEMP_C  278</v>
      </c>
      <c r="I280" t="str">
        <f t="shared" si="38"/>
        <v>public const byte VAR_AXPERT_TEMP_C = 278;</v>
      </c>
      <c r="J280">
        <v>42</v>
      </c>
      <c r="L280" t="str">
        <f t="shared" si="42"/>
        <v>UpdateScanList(VAR_AXPERT_TEMP_C, 5000);</v>
      </c>
      <c r="M280" t="str">
        <f t="shared" si="35"/>
        <v>VAR_SetVariable(VAR_AXPERT_TEMP_C, Cells[42].Temp_C, validflag);</v>
      </c>
      <c r="N280" t="str">
        <f t="shared" si="39"/>
        <v>COM_AddStreamedVariable(VAR_AXPERT_TEMP_C, 1000);</v>
      </c>
      <c r="O280" t="str">
        <f t="shared" si="40"/>
        <v>cJSON_AddItemToObject(Uha, "VAR_AXPERT_TEMP_C", cJSON_CreateNumber(mVars[VAR_AXPERT_TEMP_C]));</v>
      </c>
      <c r="P280" t="str">
        <f t="shared" si="41"/>
        <v>cJSON_AddItemToObject(Uha, "VAR_AXPERT_TEMP_C", cJSON_CreateNumber(mVars[278]));</v>
      </c>
    </row>
    <row r="281" spans="3:16">
      <c r="C281" s="1">
        <v>279</v>
      </c>
      <c r="D281" s="1" t="str">
        <f t="shared" si="36"/>
        <v>0117</v>
      </c>
      <c r="E281" t="s">
        <v>436</v>
      </c>
      <c r="H281" t="str">
        <f t="shared" si="37"/>
        <v>#define  VAR_AXPERT_AC_POWER_W  279</v>
      </c>
      <c r="I281" t="str">
        <f t="shared" si="38"/>
        <v>public const byte VAR_AXPERT_AC_POWER_W = 279;</v>
      </c>
      <c r="J281">
        <v>43</v>
      </c>
      <c r="L281" t="str">
        <f t="shared" si="42"/>
        <v>UpdateScanList(VAR_AXPERT_AC_POWER_W, 5000);</v>
      </c>
      <c r="M281" t="str">
        <f t="shared" si="35"/>
        <v>VAR_SetVariable(VAR_AXPERT_AC_POWER_W, Cells[43].Temp_C, validflag);</v>
      </c>
      <c r="N281" t="str">
        <f t="shared" si="39"/>
        <v>COM_AddStreamedVariable(VAR_AXPERT_AC_POWER_W, 1000);</v>
      </c>
      <c r="O281" t="str">
        <f t="shared" si="40"/>
        <v>cJSON_AddItemToObject(Uha, "VAR_AXPERT_AC_POWER_W", cJSON_CreateNumber(mVars[VAR_AXPERT_AC_POWER_W]));</v>
      </c>
      <c r="P281" t="str">
        <f t="shared" si="41"/>
        <v>cJSON_AddItemToObject(Uha, "VAR_AXPERT_AC_POWER_W", cJSON_CreateNumber(mVars[279]));</v>
      </c>
    </row>
    <row r="282" spans="3:16">
      <c r="C282" s="1">
        <v>280</v>
      </c>
      <c r="D282" s="1" t="str">
        <f t="shared" si="36"/>
        <v>0118</v>
      </c>
      <c r="E282" s="37" t="s">
        <v>389</v>
      </c>
      <c r="H282" t="str">
        <f t="shared" si="37"/>
        <v>#define  VAR_AXPERT_BAT_CHARGING_A  280</v>
      </c>
      <c r="I282" t="str">
        <f t="shared" si="38"/>
        <v>public const byte VAR_AXPERT_BAT_CHARGING_A = 280;</v>
      </c>
      <c r="J282">
        <v>44</v>
      </c>
      <c r="L282" t="str">
        <f t="shared" si="42"/>
        <v>UpdateScanList(VAR_AXPERT_BAT_CHARGING_A, 5000);</v>
      </c>
      <c r="M282" t="str">
        <f t="shared" si="35"/>
        <v>VAR_SetVariable(VAR_AXPERT_BAT_CHARGING_A, Cells[44].Temp_C, validflag);</v>
      </c>
      <c r="N282" t="str">
        <f t="shared" si="39"/>
        <v>COM_AddStreamedVariable(VAR_AXPERT_BAT_CHARGING_A, 1000);</v>
      </c>
      <c r="O282" t="str">
        <f t="shared" si="40"/>
        <v>cJSON_AddItemToObject(Uha, "VAR_AXPERT_BAT_CHARGING_A", cJSON_CreateNumber(mVars[VAR_AXPERT_BAT_CHARGING_A]));</v>
      </c>
      <c r="P282" t="str">
        <f t="shared" si="41"/>
        <v>cJSON_AddItemToObject(Uha, "VAR_AXPERT_BAT_CHARGING_A", cJSON_CreateNumber(mVars[280]));</v>
      </c>
    </row>
    <row r="283" spans="3:16">
      <c r="C283" s="1">
        <v>281</v>
      </c>
      <c r="D283" s="1" t="str">
        <f t="shared" si="36"/>
        <v>0119</v>
      </c>
      <c r="E283" s="29" t="s">
        <v>390</v>
      </c>
      <c r="H283" t="str">
        <f t="shared" si="37"/>
        <v>#define  VAR_AXPERT_BAT_DISCHARGING_A  281</v>
      </c>
      <c r="I283" t="str">
        <f t="shared" si="38"/>
        <v>public const byte VAR_AXPERT_BAT_DISCHARGING_A = 281;</v>
      </c>
      <c r="J283">
        <v>45</v>
      </c>
      <c r="L283" t="str">
        <f t="shared" si="42"/>
        <v>UpdateScanList(VAR_AXPERT_BAT_DISCHARGING_A, 5000);</v>
      </c>
      <c r="M283" t="str">
        <f t="shared" si="35"/>
        <v>VAR_SetVariable(VAR_AXPERT_BAT_DISCHARGING_A, Cells[45].Temp_C, validflag);</v>
      </c>
      <c r="N283" t="str">
        <f t="shared" si="39"/>
        <v>COM_AddStreamedVariable(VAR_AXPERT_BAT_DISCHARGING_A, 1000);</v>
      </c>
      <c r="O283" t="str">
        <f t="shared" si="40"/>
        <v>cJSON_AddItemToObject(Uha, "VAR_AXPERT_BAT_DISCHARGING_A", cJSON_CreateNumber(mVars[VAR_AXPERT_BAT_DISCHARGING_A]));</v>
      </c>
      <c r="P283" t="str">
        <f t="shared" si="41"/>
        <v>cJSON_AddItemToObject(Uha, "VAR_AXPERT_BAT_DISCHARGING_A", cJSON_CreateNumber(mVars[281]));</v>
      </c>
    </row>
    <row r="284" spans="3:16">
      <c r="C284" s="1">
        <v>282</v>
      </c>
      <c r="D284" s="1" t="str">
        <f t="shared" si="36"/>
        <v>011A</v>
      </c>
      <c r="E284" s="37" t="s">
        <v>391</v>
      </c>
      <c r="H284" t="str">
        <f t="shared" si="37"/>
        <v>#define  VAR_AXPERT_BAT_VOLTAGE_V10  282</v>
      </c>
      <c r="I284" t="str">
        <f t="shared" si="38"/>
        <v>public const byte VAR_AXPERT_BAT_VOLTAGE_V10 = 282;</v>
      </c>
      <c r="J284">
        <v>46</v>
      </c>
      <c r="L284" t="str">
        <f t="shared" si="42"/>
        <v>UpdateScanList(VAR_AXPERT_BAT_VOLTAGE_V10, 5000);</v>
      </c>
      <c r="M284" t="str">
        <f t="shared" si="35"/>
        <v>VAR_SetVariable(VAR_AXPERT_BAT_VOLTAGE_V10, Cells[46].Temp_C, validflag);</v>
      </c>
      <c r="N284" t="str">
        <f t="shared" si="39"/>
        <v>COM_AddStreamedVariable(VAR_AXPERT_BAT_VOLTAGE_V10, 1000);</v>
      </c>
      <c r="O284" t="str">
        <f t="shared" si="40"/>
        <v>cJSON_AddItemToObject(Uha, "VAR_AXPERT_BAT_VOLTAGE_V10", cJSON_CreateNumber(mVars[VAR_AXPERT_BAT_VOLTAGE_V10]));</v>
      </c>
      <c r="P284" t="str">
        <f t="shared" si="41"/>
        <v>cJSON_AddItemToObject(Uha, "VAR_AXPERT_BAT_VOLTAGE_V10", cJSON_CreateNumber(mVars[282]));</v>
      </c>
    </row>
    <row r="285" spans="3:16">
      <c r="C285" s="1">
        <v>283</v>
      </c>
      <c r="D285" s="1" t="str">
        <f t="shared" si="36"/>
        <v>011B</v>
      </c>
      <c r="E285" s="29" t="s">
        <v>392</v>
      </c>
      <c r="H285" t="str">
        <f t="shared" si="37"/>
        <v>#define  VAR_AXPERT_PVS1_W  283</v>
      </c>
      <c r="I285" t="str">
        <f t="shared" si="38"/>
        <v>public const byte VAR_AXPERT_PVS1_W = 283;</v>
      </c>
      <c r="J285">
        <v>47</v>
      </c>
      <c r="L285" t="str">
        <f t="shared" si="42"/>
        <v>UpdateScanList(VAR_AXPERT_PVS1_W, 5000);</v>
      </c>
      <c r="M285" t="str">
        <f t="shared" si="35"/>
        <v>VAR_SetVariable(VAR_AXPERT_PVS1_W, Cells[47].Temp_C, validflag);</v>
      </c>
      <c r="N285" t="str">
        <f t="shared" si="39"/>
        <v>COM_AddStreamedVariable(VAR_AXPERT_PVS1_W, 1000);</v>
      </c>
      <c r="O285" t="str">
        <f t="shared" si="40"/>
        <v>cJSON_AddItemToObject(Uha, "VAR_AXPERT_PVS1_W", cJSON_CreateNumber(mVars[VAR_AXPERT_PVS1_W]));</v>
      </c>
      <c r="P285" t="str">
        <f t="shared" si="41"/>
        <v>cJSON_AddItemToObject(Uha, "VAR_AXPERT_PVS1_W", cJSON_CreateNumber(mVars[283]));</v>
      </c>
    </row>
    <row r="286" spans="3:16">
      <c r="C286" s="1">
        <v>284</v>
      </c>
      <c r="D286" s="1" t="str">
        <f t="shared" si="36"/>
        <v>011C</v>
      </c>
      <c r="E286" s="29" t="s">
        <v>394</v>
      </c>
      <c r="H286" t="str">
        <f t="shared" si="37"/>
        <v>#define  VAR_AXPERT_PVS1_V10  284</v>
      </c>
      <c r="I286" t="str">
        <f t="shared" si="38"/>
        <v>public const byte VAR_AXPERT_PVS1_V10 = 284;</v>
      </c>
      <c r="J286">
        <v>48</v>
      </c>
      <c r="L286" t="str">
        <f t="shared" si="42"/>
        <v>UpdateScanList(VAR_AXPERT_PVS1_V10, 5000);</v>
      </c>
      <c r="M286" t="str">
        <f t="shared" si="35"/>
        <v>VAR_SetVariable(VAR_AXPERT_PVS1_V10, Cells[48].Temp_C, validflag);</v>
      </c>
      <c r="N286" t="str">
        <f t="shared" si="39"/>
        <v>COM_AddStreamedVariable(VAR_AXPERT_PVS1_V10, 1000);</v>
      </c>
      <c r="O286" t="str">
        <f t="shared" si="40"/>
        <v>cJSON_AddItemToObject(Uha, "VAR_AXPERT_PVS1_V10", cJSON_CreateNumber(mVars[VAR_AXPERT_PVS1_V10]));</v>
      </c>
      <c r="P286" t="str">
        <f t="shared" si="41"/>
        <v>cJSON_AddItemToObject(Uha, "VAR_AXPERT_PVS1_V10", cJSON_CreateNumber(mVars[284]));</v>
      </c>
    </row>
    <row r="287" spans="3:16">
      <c r="C287" s="1">
        <v>285</v>
      </c>
      <c r="D287" s="1" t="str">
        <f t="shared" si="36"/>
        <v>011D</v>
      </c>
      <c r="E287" s="29" t="s">
        <v>393</v>
      </c>
      <c r="H287" t="str">
        <f t="shared" si="37"/>
        <v>#define  VAR_AXPERT_PVS1_A10  285</v>
      </c>
      <c r="I287" t="str">
        <f t="shared" si="38"/>
        <v>public const byte VAR_AXPERT_PVS1_A10 = 285;</v>
      </c>
      <c r="J287">
        <v>49</v>
      </c>
      <c r="L287" t="str">
        <f t="shared" si="42"/>
        <v>UpdateScanList(VAR_AXPERT_PVS1_A10, 5000);</v>
      </c>
      <c r="M287" t="str">
        <f t="shared" si="35"/>
        <v>VAR_SetVariable(VAR_AXPERT_PVS1_A10, Cells[49].Temp_C, validflag);</v>
      </c>
      <c r="N287" t="str">
        <f t="shared" si="39"/>
        <v>COM_AddStreamedVariable(VAR_AXPERT_PVS1_A10, 1000);</v>
      </c>
      <c r="O287" t="str">
        <f t="shared" si="40"/>
        <v>cJSON_AddItemToObject(Uha, "VAR_AXPERT_PVS1_A10", cJSON_CreateNumber(mVars[VAR_AXPERT_PVS1_A10]));</v>
      </c>
      <c r="P287" t="str">
        <f t="shared" si="41"/>
        <v>cJSON_AddItemToObject(Uha, "VAR_AXPERT_PVS1_A10", cJSON_CreateNumber(mVars[285]));</v>
      </c>
    </row>
    <row r="288" spans="3:16">
      <c r="C288" s="1">
        <v>286</v>
      </c>
      <c r="D288" s="1" t="str">
        <f t="shared" si="36"/>
        <v>011E</v>
      </c>
      <c r="E288" s="29" t="s">
        <v>395</v>
      </c>
      <c r="H288" t="str">
        <f t="shared" si="37"/>
        <v>#define  VAR_AXPERT_PVS2_W  286</v>
      </c>
      <c r="I288" t="str">
        <f t="shared" si="38"/>
        <v>public const byte VAR_AXPERT_PVS2_W = 286;</v>
      </c>
      <c r="J288">
        <v>50</v>
      </c>
      <c r="L288" t="str">
        <f t="shared" si="42"/>
        <v>UpdateScanList(VAR_AXPERT_PVS2_W, 5000);</v>
      </c>
      <c r="M288" t="str">
        <f t="shared" si="35"/>
        <v>VAR_SetVariable(VAR_AXPERT_PVS2_W, Cells[50].Temp_C, validflag);</v>
      </c>
      <c r="N288" t="str">
        <f t="shared" si="39"/>
        <v>COM_AddStreamedVariable(VAR_AXPERT_PVS2_W, 1000);</v>
      </c>
      <c r="O288" t="str">
        <f t="shared" si="40"/>
        <v>cJSON_AddItemToObject(Uha, "VAR_AXPERT_PVS2_W", cJSON_CreateNumber(mVars[VAR_AXPERT_PVS2_W]));</v>
      </c>
      <c r="P288" t="str">
        <f t="shared" si="41"/>
        <v>cJSON_AddItemToObject(Uha, "VAR_AXPERT_PVS2_W", cJSON_CreateNumber(mVars[286]));</v>
      </c>
    </row>
    <row r="289" spans="3:16">
      <c r="C289" s="1">
        <v>287</v>
      </c>
      <c r="D289" s="1" t="str">
        <f t="shared" si="36"/>
        <v>011F</v>
      </c>
      <c r="E289" s="29" t="s">
        <v>396</v>
      </c>
      <c r="H289" t="str">
        <f t="shared" si="37"/>
        <v>#define  VAR_AXPERT_PVS2_V10  287</v>
      </c>
      <c r="I289" t="str">
        <f t="shared" si="38"/>
        <v>public const byte VAR_AXPERT_PVS2_V10 = 287;</v>
      </c>
      <c r="J289">
        <v>51</v>
      </c>
      <c r="L289" t="str">
        <f t="shared" si="42"/>
        <v>UpdateScanList(VAR_AXPERT_PVS2_V10, 5000);</v>
      </c>
      <c r="M289" t="str">
        <f t="shared" si="35"/>
        <v>VAR_SetVariable(VAR_AXPERT_PVS2_V10, Cells[51].Temp_C, validflag);</v>
      </c>
      <c r="N289" t="str">
        <f t="shared" si="39"/>
        <v>COM_AddStreamedVariable(VAR_AXPERT_PVS2_V10, 1000);</v>
      </c>
      <c r="O289" t="str">
        <f t="shared" si="40"/>
        <v>cJSON_AddItemToObject(Uha, "VAR_AXPERT_PVS2_V10", cJSON_CreateNumber(mVars[VAR_AXPERT_PVS2_V10]));</v>
      </c>
      <c r="P289" t="str">
        <f t="shared" si="41"/>
        <v>cJSON_AddItemToObject(Uha, "VAR_AXPERT_PVS2_V10", cJSON_CreateNumber(mVars[287]));</v>
      </c>
    </row>
    <row r="290" spans="3:16">
      <c r="C290" s="1">
        <v>288</v>
      </c>
      <c r="D290" s="1" t="str">
        <f t="shared" si="36"/>
        <v>0120</v>
      </c>
      <c r="E290" s="29" t="s">
        <v>397</v>
      </c>
      <c r="H290" t="str">
        <f t="shared" si="37"/>
        <v>#define  VAR_AXPERT_PVS2_A10  288</v>
      </c>
      <c r="I290" t="str">
        <f t="shared" si="38"/>
        <v>public const byte VAR_AXPERT_PVS2_A10 = 288;</v>
      </c>
      <c r="J290">
        <v>52</v>
      </c>
      <c r="L290" t="str">
        <f t="shared" si="42"/>
        <v>UpdateScanList(VAR_AXPERT_PVS2_A10, 5000);</v>
      </c>
      <c r="M290" t="str">
        <f t="shared" si="35"/>
        <v>VAR_SetVariable(VAR_AXPERT_PVS2_A10, Cells[52].Temp_C, validflag);</v>
      </c>
      <c r="N290" t="str">
        <f t="shared" si="39"/>
        <v>COM_AddStreamedVariable(VAR_AXPERT_PVS2_A10, 1000);</v>
      </c>
      <c r="O290" t="str">
        <f t="shared" si="40"/>
        <v>cJSON_AddItemToObject(Uha, "VAR_AXPERT_PVS2_A10", cJSON_CreateNumber(mVars[VAR_AXPERT_PVS2_A10]));</v>
      </c>
      <c r="P290" t="str">
        <f t="shared" si="41"/>
        <v>cJSON_AddItemToObject(Uha, "VAR_AXPERT_PVS2_A10", cJSON_CreateNumber(mVars[288]));</v>
      </c>
    </row>
    <row r="291" spans="3:16">
      <c r="C291" s="1">
        <v>289</v>
      </c>
      <c r="D291" s="1" t="str">
        <f t="shared" si="36"/>
        <v>0121</v>
      </c>
      <c r="H291" t="str">
        <f t="shared" si="37"/>
        <v>#define    289</v>
      </c>
      <c r="I291" t="str">
        <f t="shared" si="38"/>
        <v>public const byte  = 289;</v>
      </c>
      <c r="J291">
        <v>53</v>
      </c>
      <c r="L291" t="str">
        <f t="shared" si="42"/>
        <v>UpdateScanList(, 5000);</v>
      </c>
      <c r="M291" t="str">
        <f t="shared" si="35"/>
        <v>VAR_SetVariable(, Cells[53].Temp_C, validflag);</v>
      </c>
      <c r="N291" t="str">
        <f t="shared" si="39"/>
        <v>COM_AddStreamedVariable(, 1000);</v>
      </c>
      <c r="O291" t="str">
        <f t="shared" si="40"/>
        <v/>
      </c>
      <c r="P291" t="str">
        <f t="shared" si="41"/>
        <v>cJSON_AddItemToObject(Uha, "", cJSON_CreateNumber(mVars[289]));</v>
      </c>
    </row>
    <row r="292" spans="3:16">
      <c r="C292" s="1">
        <v>290</v>
      </c>
      <c r="D292" s="1" t="str">
        <f t="shared" si="36"/>
        <v>0122</v>
      </c>
      <c r="E292" s="37" t="s">
        <v>438</v>
      </c>
      <c r="H292" t="str">
        <f t="shared" si="37"/>
        <v>#define  VAR_AXPERT_BAT_POWER_W  290</v>
      </c>
      <c r="I292" t="str">
        <f t="shared" si="38"/>
        <v>public const byte VAR_AXPERT_BAT_POWER_W = 290;</v>
      </c>
      <c r="J292">
        <v>54</v>
      </c>
      <c r="L292" t="str">
        <f t="shared" si="42"/>
        <v>UpdateScanList(VAR_AXPERT_BAT_POWER_W, 5000);</v>
      </c>
      <c r="M292" t="str">
        <f t="shared" si="35"/>
        <v>VAR_SetVariable(VAR_AXPERT_BAT_POWER_W, Cells[54].Temp_C, validflag);</v>
      </c>
      <c r="N292" t="str">
        <f t="shared" si="39"/>
        <v>COM_AddStreamedVariable(VAR_AXPERT_BAT_POWER_W, 1000);</v>
      </c>
      <c r="O292" t="str">
        <f t="shared" si="40"/>
        <v>cJSON_AddItemToObject(Uha, "VAR_AXPERT_BAT_POWER_W", cJSON_CreateNumber(mVars[VAR_AXPERT_BAT_POWER_W]));</v>
      </c>
      <c r="P292" t="str">
        <f t="shared" si="41"/>
        <v>cJSON_AddItemToObject(Uha, "VAR_AXPERT_BAT_POWER_W", cJSON_CreateNumber(mVars[290]));</v>
      </c>
    </row>
    <row r="293" spans="3:16">
      <c r="C293" s="1">
        <v>291</v>
      </c>
      <c r="D293" s="1" t="str">
        <f t="shared" si="36"/>
        <v>0123</v>
      </c>
      <c r="E293" s="37" t="s">
        <v>419</v>
      </c>
      <c r="H293" t="str">
        <f t="shared" si="37"/>
        <v>#define  VAR_AXPERT_BAT_CURRENT_A  291</v>
      </c>
      <c r="I293" t="str">
        <f t="shared" si="38"/>
        <v>public const byte VAR_AXPERT_BAT_CURRENT_A = 291;</v>
      </c>
      <c r="J293">
        <v>55</v>
      </c>
      <c r="L293" t="str">
        <f t="shared" si="42"/>
        <v>UpdateScanList(VAR_AXPERT_BAT_CURRENT_A, 5000);</v>
      </c>
      <c r="M293" t="str">
        <f t="shared" si="35"/>
        <v>VAR_SetVariable(VAR_AXPERT_BAT_CURRENT_A, Cells[55].Temp_C, validflag);</v>
      </c>
      <c r="N293" t="str">
        <f t="shared" si="39"/>
        <v>COM_AddStreamedVariable(VAR_AXPERT_BAT_CURRENT_A, 1000);</v>
      </c>
      <c r="O293" t="str">
        <f t="shared" si="40"/>
        <v>cJSON_AddItemToObject(Uha, "VAR_AXPERT_BAT_CURRENT_A", cJSON_CreateNumber(mVars[VAR_AXPERT_BAT_CURRENT_A]));</v>
      </c>
      <c r="P293" t="str">
        <f t="shared" si="41"/>
        <v>cJSON_AddItemToObject(Uha, "VAR_AXPERT_BAT_CURRENT_A", cJSON_CreateNumber(mVars[291]));</v>
      </c>
    </row>
    <row r="294" spans="3:16">
      <c r="C294" s="1">
        <v>292</v>
      </c>
      <c r="D294" s="1" t="str">
        <f t="shared" si="36"/>
        <v>0124</v>
      </c>
      <c r="E294" s="37" t="s">
        <v>417</v>
      </c>
      <c r="H294" t="str">
        <f t="shared" si="37"/>
        <v>#define  VAR_AXPERT_SOLAR_W  292</v>
      </c>
      <c r="I294" t="str">
        <f t="shared" si="38"/>
        <v>public const byte VAR_AXPERT_SOLAR_W = 292;</v>
      </c>
      <c r="J294">
        <v>56</v>
      </c>
      <c r="L294" t="str">
        <f t="shared" si="42"/>
        <v>UpdateScanList(VAR_AXPERT_SOLAR_W, 5000);</v>
      </c>
      <c r="M294" t="str">
        <f t="shared" si="35"/>
        <v>VAR_SetVariable(VAR_AXPERT_SOLAR_W, Cells[56].Temp_C, validflag);</v>
      </c>
      <c r="N294" t="str">
        <f t="shared" si="39"/>
        <v>COM_AddStreamedVariable(VAR_AXPERT_SOLAR_W, 1000);</v>
      </c>
      <c r="O294" t="str">
        <f t="shared" si="40"/>
        <v>cJSON_AddItemToObject(Uha, "VAR_AXPERT_SOLAR_W", cJSON_CreateNumber(mVars[VAR_AXPERT_SOLAR_W]));</v>
      </c>
      <c r="P294" t="str">
        <f t="shared" si="41"/>
        <v>cJSON_AddItemToObject(Uha, "VAR_AXPERT_SOLAR_W", cJSON_CreateNumber(mVars[292]));</v>
      </c>
    </row>
    <row r="295" spans="3:16">
      <c r="C295" s="1">
        <v>293</v>
      </c>
      <c r="D295" s="1" t="str">
        <f t="shared" si="36"/>
        <v>0125</v>
      </c>
      <c r="E295" s="29" t="s">
        <v>423</v>
      </c>
      <c r="H295" t="str">
        <f t="shared" si="37"/>
        <v>#define  VAR_AXPERT_ENERGY_TODAY_WH  293</v>
      </c>
      <c r="I295" t="str">
        <f t="shared" si="38"/>
        <v>public const byte VAR_AXPERT_ENERGY_TODAY_WH = 293;</v>
      </c>
      <c r="J295">
        <v>57</v>
      </c>
      <c r="L295" t="str">
        <f t="shared" si="42"/>
        <v>UpdateScanList(VAR_AXPERT_ENERGY_TODAY_WH, 5000);</v>
      </c>
      <c r="M295" t="str">
        <f t="shared" si="35"/>
        <v>VAR_SetVariable(VAR_AXPERT_ENERGY_TODAY_WH, Cells[57].Temp_C, validflag);</v>
      </c>
      <c r="N295" t="str">
        <f t="shared" si="39"/>
        <v>COM_AddStreamedVariable(VAR_AXPERT_ENERGY_TODAY_WH, 1000);</v>
      </c>
      <c r="O295" t="str">
        <f t="shared" si="40"/>
        <v>cJSON_AddItemToObject(Uha, "VAR_AXPERT_ENERGY_TODAY_WH", cJSON_CreateNumber(mVars[VAR_AXPERT_ENERGY_TODAY_WH]));</v>
      </c>
      <c r="P295" t="str">
        <f t="shared" si="41"/>
        <v>cJSON_AddItemToObject(Uha, "VAR_AXPERT_ENERGY_TODAY_WH", cJSON_CreateNumber(mVars[293]));</v>
      </c>
    </row>
    <row r="296" spans="3:16">
      <c r="C296" s="1">
        <v>294</v>
      </c>
      <c r="D296" s="1" t="str">
        <f t="shared" si="36"/>
        <v>0126</v>
      </c>
      <c r="E296" s="29" t="s">
        <v>420</v>
      </c>
      <c r="H296" t="str">
        <f t="shared" si="37"/>
        <v>#define  VAR_AXPERT_LOAD_W  294</v>
      </c>
      <c r="I296" t="str">
        <f t="shared" si="38"/>
        <v>public const byte VAR_AXPERT_LOAD_W = 294;</v>
      </c>
      <c r="J296">
        <v>58</v>
      </c>
      <c r="L296" t="str">
        <f t="shared" si="42"/>
        <v>UpdateScanList(VAR_AXPERT_LOAD_W, 5000);</v>
      </c>
      <c r="M296" t="str">
        <f t="shared" si="35"/>
        <v>VAR_SetVariable(VAR_AXPERT_LOAD_W, Cells[58].Temp_C, validflag);</v>
      </c>
      <c r="N296" t="str">
        <f t="shared" si="39"/>
        <v>COM_AddStreamedVariable(VAR_AXPERT_LOAD_W, 1000);</v>
      </c>
      <c r="O296" t="str">
        <f t="shared" si="40"/>
        <v>cJSON_AddItemToObject(Uha, "VAR_AXPERT_LOAD_W", cJSON_CreateNumber(mVars[VAR_AXPERT_LOAD_W]));</v>
      </c>
      <c r="P296" t="str">
        <f t="shared" si="41"/>
        <v>cJSON_AddItemToObject(Uha, "VAR_AXPERT_LOAD_W", cJSON_CreateNumber(mVars[294]));</v>
      </c>
    </row>
    <row r="297" spans="3:16">
      <c r="C297" s="1">
        <v>295</v>
      </c>
      <c r="D297" s="1" t="str">
        <f t="shared" si="36"/>
        <v>0127</v>
      </c>
      <c r="E297" s="29" t="s">
        <v>418</v>
      </c>
      <c r="H297" t="str">
        <f t="shared" si="37"/>
        <v>#define  VAR_AXPERT_DISCHARGING_W  295</v>
      </c>
      <c r="I297" t="str">
        <f t="shared" si="38"/>
        <v>public const byte VAR_AXPERT_DISCHARGING_W = 295;</v>
      </c>
      <c r="J297">
        <v>59</v>
      </c>
      <c r="L297" t="str">
        <f t="shared" si="42"/>
        <v>UpdateScanList(VAR_AXPERT_DISCHARGING_W, 5000);</v>
      </c>
      <c r="M297" t="str">
        <f t="shared" si="35"/>
        <v>VAR_SetVariable(VAR_AXPERT_DISCHARGING_W, Cells[59].Temp_C, validflag);</v>
      </c>
      <c r="N297" t="str">
        <f t="shared" si="39"/>
        <v>COM_AddStreamedVariable(VAR_AXPERT_DISCHARGING_W, 1000);</v>
      </c>
      <c r="O297" t="str">
        <f t="shared" si="40"/>
        <v>cJSON_AddItemToObject(Uha, "VAR_AXPERT_DISCHARGING_W", cJSON_CreateNumber(mVars[VAR_AXPERT_DISCHARGING_W]));</v>
      </c>
      <c r="P297" t="str">
        <f t="shared" si="41"/>
        <v>cJSON_AddItemToObject(Uha, "VAR_AXPERT_DISCHARGING_W", cJSON_CreateNumber(mVars[295]));</v>
      </c>
    </row>
    <row r="298" spans="3:16">
      <c r="C298" s="1">
        <v>296</v>
      </c>
      <c r="D298" s="1" t="str">
        <f t="shared" si="36"/>
        <v>0128</v>
      </c>
      <c r="N298" t="str">
        <f t="shared" si="39"/>
        <v>COM_AddStreamedVariable(, 1000);</v>
      </c>
    </row>
    <row r="299" spans="3:16">
      <c r="C299" s="1">
        <v>297</v>
      </c>
      <c r="D299" s="1" t="str">
        <f t="shared" si="36"/>
        <v>0129</v>
      </c>
      <c r="N299" t="str">
        <f t="shared" si="39"/>
        <v>COM_AddStreamedVariable(, 1000);</v>
      </c>
    </row>
    <row r="300" spans="3:16">
      <c r="C300" s="1">
        <v>298</v>
      </c>
      <c r="D300" s="1" t="str">
        <f t="shared" si="36"/>
        <v>012A</v>
      </c>
      <c r="N300" t="str">
        <f t="shared" si="39"/>
        <v>COM_AddStreamedVariable(, 1000);</v>
      </c>
    </row>
    <row r="301" spans="3:16">
      <c r="C301" s="1">
        <v>299</v>
      </c>
      <c r="D301" s="1" t="str">
        <f t="shared" si="36"/>
        <v>012B</v>
      </c>
      <c r="N301" t="str">
        <f t="shared" si="39"/>
        <v>COM_AddStreamedVariable(, 1000);</v>
      </c>
    </row>
    <row r="302" spans="3:16">
      <c r="C302" s="1">
        <v>300</v>
      </c>
      <c r="D302" s="1" t="str">
        <f t="shared" si="36"/>
        <v>012C</v>
      </c>
      <c r="E302" s="25" t="s">
        <v>440</v>
      </c>
      <c r="H302" t="str">
        <f>CONCATENATE("#define  ",E302,"  ",C302)</f>
        <v>#define  VAR_STRG1_SOC  300</v>
      </c>
      <c r="I302" t="str">
        <f>CONCATENATE("public const byte ",E302," = ",C302,";")</f>
        <v>public const byte VAR_STRG1_SOC = 300;</v>
      </c>
      <c r="J302">
        <v>64</v>
      </c>
      <c r="L302" t="str">
        <f>CONCATENATE("UpdateScanList(",E302, ", 2000);")</f>
        <v>UpdateScanList(VAR_STRG1_SOC, 2000);</v>
      </c>
      <c r="M302" t="str">
        <f>CONCATENATE("VAR_SetVariable(",E302,", Cells[",J302,"].Temp_C", ", validflag);")</f>
        <v>VAR_SetVariable(VAR_STRG1_SOC, Cells[64].Temp_C, validflag);</v>
      </c>
      <c r="N302" t="str">
        <f t="shared" si="39"/>
        <v>COM_AddStreamedVariable(VAR_STRG1_SOC, 1000);</v>
      </c>
      <c r="O302" t="str">
        <f>IF(ISBLANK(E302),"",CONCATENATE("cJSON_AddItemToObject(Uha, ","""",E302,"""",", cJSON_CreateNumber(mVars[",E302,"]));"))</f>
        <v>cJSON_AddItemToObject(Uha, "VAR_STRG1_SOC", cJSON_CreateNumber(mVars[VAR_STRG1_SOC]));</v>
      </c>
      <c r="P302" t="str">
        <f>CONCATENATE("cJSON_AddItemToObject(Uha, ","""",E302,"""",", cJSON_CreateNumber(mVars[",C302,"]));")</f>
        <v>cJSON_AddItemToObject(Uha, "VAR_STRG1_SOC", cJSON_CreateNumber(mVars[300]));</v>
      </c>
    </row>
    <row r="303" spans="3:16">
      <c r="C303" s="1">
        <v>301</v>
      </c>
      <c r="D303" s="1" t="str">
        <f t="shared" si="36"/>
        <v>012D</v>
      </c>
      <c r="E303" s="25" t="s">
        <v>441</v>
      </c>
      <c r="H303" t="str">
        <f t="shared" ref="H303:H339" si="43">CONCATENATE("#define  ",E303,"  ",C303)</f>
        <v>#define  VAR_STRG1_POWER_W  301</v>
      </c>
      <c r="I303" t="str">
        <f t="shared" ref="I303:I339" si="44">CONCATENATE("public const byte ",E303," = ",C303,";")</f>
        <v>public const byte VAR_STRG1_POWER_W = 301;</v>
      </c>
      <c r="J303">
        <v>65</v>
      </c>
      <c r="L303" t="str">
        <f t="shared" ref="L303:L346" si="45">CONCATENATE("UpdateScanList(",E303, ", 2000);")</f>
        <v>UpdateScanList(VAR_STRG1_POWER_W, 2000);</v>
      </c>
      <c r="M303" t="str">
        <f t="shared" ref="M303:M339" si="46">CONCATENATE("VAR_SetVariable(",E303,", Cells[",J303,"].Temp_C", ", validflag);")</f>
        <v>VAR_SetVariable(VAR_STRG1_POWER_W, Cells[65].Temp_C, validflag);</v>
      </c>
      <c r="N303" t="str">
        <f t="shared" si="39"/>
        <v>COM_AddStreamedVariable(VAR_STRG1_POWER_W, 1000);</v>
      </c>
      <c r="O303" t="str">
        <f t="shared" ref="O303:O339" si="47">IF(ISBLANK(E303),"",CONCATENATE("cJSON_AddItemToObject(Uha, ","""",E303,"""",", cJSON_CreateNumber(mVars[",E303,"]));"))</f>
        <v>cJSON_AddItemToObject(Uha, "VAR_STRG1_POWER_W", cJSON_CreateNumber(mVars[VAR_STRG1_POWER_W]));</v>
      </c>
      <c r="P303" t="str">
        <f t="shared" ref="P303:P339" si="48">CONCATENATE("cJSON_AddItemToObject(Uha, ","""",E303,"""",", cJSON_CreateNumber(mVars[",C303,"]));")</f>
        <v>cJSON_AddItemToObject(Uha, "VAR_STRG1_POWER_W", cJSON_CreateNumber(mVars[301]));</v>
      </c>
    </row>
    <row r="304" spans="3:16">
      <c r="C304" s="1">
        <v>302</v>
      </c>
      <c r="D304" s="1" t="str">
        <f t="shared" si="36"/>
        <v>012E</v>
      </c>
      <c r="E304" s="25" t="s">
        <v>442</v>
      </c>
      <c r="H304" t="str">
        <f t="shared" si="43"/>
        <v>#define  VAR_STRG1_CURRENT_A10  302</v>
      </c>
      <c r="I304" t="str">
        <f t="shared" si="44"/>
        <v>public const byte VAR_STRG1_CURRENT_A10 = 302;</v>
      </c>
      <c r="J304">
        <v>66</v>
      </c>
      <c r="L304" t="str">
        <f t="shared" si="45"/>
        <v>UpdateScanList(VAR_STRG1_CURRENT_A10, 2000);</v>
      </c>
      <c r="M304" t="str">
        <f t="shared" si="46"/>
        <v>VAR_SetVariable(VAR_STRG1_CURRENT_A10, Cells[66].Temp_C, validflag);</v>
      </c>
      <c r="N304" t="str">
        <f t="shared" si="39"/>
        <v>COM_AddStreamedVariable(VAR_STRG1_CURRENT_A10, 1000);</v>
      </c>
      <c r="O304" t="str">
        <f t="shared" si="47"/>
        <v>cJSON_AddItemToObject(Uha, "VAR_STRG1_CURRENT_A10", cJSON_CreateNumber(mVars[VAR_STRG1_CURRENT_A10]));</v>
      </c>
      <c r="P304" t="str">
        <f t="shared" si="48"/>
        <v>cJSON_AddItemToObject(Uha, "VAR_STRG1_CURRENT_A10", cJSON_CreateNumber(mVars[302]));</v>
      </c>
    </row>
    <row r="305" spans="3:16">
      <c r="C305" s="1">
        <v>303</v>
      </c>
      <c r="D305" s="1" t="str">
        <f t="shared" si="36"/>
        <v>012F</v>
      </c>
      <c r="E305" s="25" t="s">
        <v>443</v>
      </c>
      <c r="H305" t="str">
        <f t="shared" si="43"/>
        <v>#define  VAR_STRG1_ENERGY_WH  303</v>
      </c>
      <c r="I305" t="str">
        <f t="shared" si="44"/>
        <v>public const byte VAR_STRG1_ENERGY_WH = 303;</v>
      </c>
      <c r="J305">
        <v>67</v>
      </c>
      <c r="L305" t="str">
        <f t="shared" si="45"/>
        <v>UpdateScanList(VAR_STRG1_ENERGY_WH, 2000);</v>
      </c>
      <c r="M305" t="str">
        <f t="shared" si="46"/>
        <v>VAR_SetVariable(VAR_STRG1_ENERGY_WH, Cells[67].Temp_C, validflag);</v>
      </c>
      <c r="N305" t="str">
        <f t="shared" si="39"/>
        <v>COM_AddStreamedVariable(VAR_STRG1_ENERGY_WH, 1000);</v>
      </c>
      <c r="O305" t="str">
        <f t="shared" si="47"/>
        <v>cJSON_AddItemToObject(Uha, "VAR_STRG1_ENERGY_WH", cJSON_CreateNumber(mVars[VAR_STRG1_ENERGY_WH]));</v>
      </c>
      <c r="P305" t="str">
        <f t="shared" si="48"/>
        <v>cJSON_AddItemToObject(Uha, "VAR_STRG1_ENERGY_WH", cJSON_CreateNumber(mVars[303]));</v>
      </c>
    </row>
    <row r="306" spans="3:16">
      <c r="C306" s="1">
        <v>304</v>
      </c>
      <c r="D306" s="1" t="str">
        <f t="shared" si="36"/>
        <v>0130</v>
      </c>
      <c r="E306" s="25" t="s">
        <v>444</v>
      </c>
      <c r="H306" t="str">
        <f t="shared" si="43"/>
        <v>#define  VAR_STRG1_OPT_CHARGING_A  304</v>
      </c>
      <c r="I306" t="str">
        <f t="shared" si="44"/>
        <v>public const byte VAR_STRG1_OPT_CHARGING_A = 304;</v>
      </c>
      <c r="J306">
        <v>68</v>
      </c>
      <c r="L306" t="str">
        <f t="shared" si="45"/>
        <v>UpdateScanList(VAR_STRG1_OPT_CHARGING_A, 2000);</v>
      </c>
      <c r="M306" t="str">
        <f t="shared" si="46"/>
        <v>VAR_SetVariable(VAR_STRG1_OPT_CHARGING_A, Cells[68].Temp_C, validflag);</v>
      </c>
      <c r="N306" t="str">
        <f t="shared" si="39"/>
        <v>COM_AddStreamedVariable(VAR_STRG1_OPT_CHARGING_A, 1000);</v>
      </c>
      <c r="O306" t="str">
        <f t="shared" si="47"/>
        <v>cJSON_AddItemToObject(Uha, "VAR_STRG1_OPT_CHARGING_A", cJSON_CreateNumber(mVars[VAR_STRG1_OPT_CHARGING_A]));</v>
      </c>
      <c r="P306" t="str">
        <f t="shared" si="48"/>
        <v>cJSON_AddItemToObject(Uha, "VAR_STRG1_OPT_CHARGING_A", cJSON_CreateNumber(mVars[304]));</v>
      </c>
    </row>
    <row r="307" spans="3:16">
      <c r="C307" s="1">
        <v>305</v>
      </c>
      <c r="D307" s="1" t="str">
        <f t="shared" si="36"/>
        <v>0131</v>
      </c>
      <c r="E307" s="25" t="s">
        <v>469</v>
      </c>
      <c r="H307" t="str">
        <f t="shared" si="43"/>
        <v>#define  VAR_STRG1_CAPACITY_AH  305</v>
      </c>
      <c r="I307" t="str">
        <f t="shared" si="44"/>
        <v>public const byte VAR_STRG1_CAPACITY_AH = 305;</v>
      </c>
      <c r="J307">
        <v>69</v>
      </c>
      <c r="L307" t="str">
        <f t="shared" si="45"/>
        <v>UpdateScanList(VAR_STRG1_CAPACITY_AH, 2000);</v>
      </c>
      <c r="M307" t="str">
        <f t="shared" si="46"/>
        <v>VAR_SetVariable(VAR_STRG1_CAPACITY_AH, Cells[69].Temp_C, validflag);</v>
      </c>
      <c r="N307" t="str">
        <f t="shared" si="39"/>
        <v>COM_AddStreamedVariable(VAR_STRG1_CAPACITY_AH, 1000);</v>
      </c>
      <c r="O307" t="str">
        <f t="shared" si="47"/>
        <v>cJSON_AddItemToObject(Uha, "VAR_STRG1_CAPACITY_AH", cJSON_CreateNumber(mVars[VAR_STRG1_CAPACITY_AH]));</v>
      </c>
      <c r="P307" t="str">
        <f t="shared" si="48"/>
        <v>cJSON_AddItemToObject(Uha, "VAR_STRG1_CAPACITY_AH", cJSON_CreateNumber(mVars[305]));</v>
      </c>
    </row>
    <row r="308" spans="3:16">
      <c r="C308" s="1">
        <v>306</v>
      </c>
      <c r="D308" s="1" t="str">
        <f t="shared" si="36"/>
        <v>0132</v>
      </c>
      <c r="E308" s="25" t="s">
        <v>471</v>
      </c>
      <c r="H308" t="str">
        <f t="shared" si="43"/>
        <v>#define  VAR_STRG1_BALANCED_TODAY  306</v>
      </c>
      <c r="I308" t="str">
        <f t="shared" si="44"/>
        <v>public const byte VAR_STRG1_BALANCED_TODAY = 306;</v>
      </c>
      <c r="J308">
        <v>70</v>
      </c>
      <c r="L308" t="str">
        <f t="shared" si="45"/>
        <v>UpdateScanList(VAR_STRG1_BALANCED_TODAY, 2000);</v>
      </c>
      <c r="M308" t="str">
        <f t="shared" si="46"/>
        <v>VAR_SetVariable(VAR_STRG1_BALANCED_TODAY, Cells[70].Temp_C, validflag);</v>
      </c>
      <c r="N308" t="str">
        <f t="shared" si="39"/>
        <v>COM_AddStreamedVariable(VAR_STRG1_BALANCED_TODAY, 1000);</v>
      </c>
      <c r="O308" t="str">
        <f t="shared" si="47"/>
        <v>cJSON_AddItemToObject(Uha, "VAR_STRG1_BALANCED_TODAY", cJSON_CreateNumber(mVars[VAR_STRG1_BALANCED_TODAY]));</v>
      </c>
      <c r="P308" t="str">
        <f t="shared" si="48"/>
        <v>cJSON_AddItemToObject(Uha, "VAR_STRG1_BALANCED_TODAY", cJSON_CreateNumber(mVars[306]));</v>
      </c>
    </row>
    <row r="309" spans="3:16">
      <c r="C309" s="1">
        <v>307</v>
      </c>
      <c r="D309" s="1" t="str">
        <f t="shared" si="36"/>
        <v>0133</v>
      </c>
      <c r="E309" t="s">
        <v>473</v>
      </c>
      <c r="H309" t="str">
        <f t="shared" si="43"/>
        <v>#define  VAR_STRG1_VOLTAGE_V10  307</v>
      </c>
      <c r="I309" t="str">
        <f t="shared" si="44"/>
        <v>public const byte VAR_STRG1_VOLTAGE_V10 = 307;</v>
      </c>
      <c r="J309">
        <v>71</v>
      </c>
      <c r="L309" t="str">
        <f t="shared" si="45"/>
        <v>UpdateScanList(VAR_STRG1_VOLTAGE_V10, 2000);</v>
      </c>
      <c r="M309" t="str">
        <f t="shared" si="46"/>
        <v>VAR_SetVariable(VAR_STRG1_VOLTAGE_V10, Cells[71].Temp_C, validflag);</v>
      </c>
      <c r="N309" t="str">
        <f t="shared" si="39"/>
        <v>COM_AddStreamedVariable(VAR_STRG1_VOLTAGE_V10, 1000);</v>
      </c>
      <c r="O309" t="str">
        <f t="shared" si="47"/>
        <v>cJSON_AddItemToObject(Uha, "VAR_STRG1_VOLTAGE_V10", cJSON_CreateNumber(mVars[VAR_STRG1_VOLTAGE_V10]));</v>
      </c>
      <c r="P309" t="str">
        <f t="shared" si="48"/>
        <v>cJSON_AddItemToObject(Uha, "VAR_STRG1_VOLTAGE_V10", cJSON_CreateNumber(mVars[307]));</v>
      </c>
    </row>
    <row r="310" spans="3:16">
      <c r="C310" s="1">
        <v>308</v>
      </c>
      <c r="D310" s="1" t="str">
        <f t="shared" si="36"/>
        <v>0134</v>
      </c>
      <c r="E310" s="25" t="s">
        <v>445</v>
      </c>
      <c r="H310" t="str">
        <f t="shared" si="43"/>
        <v>#define  VAR_LLOAD1_POWER_W  308</v>
      </c>
      <c r="I310" t="str">
        <f t="shared" si="44"/>
        <v>public const byte VAR_LLOAD1_POWER_W = 308;</v>
      </c>
      <c r="J310">
        <v>72</v>
      </c>
      <c r="L310" t="str">
        <f t="shared" si="45"/>
        <v>UpdateScanList(VAR_LLOAD1_POWER_W, 2000);</v>
      </c>
      <c r="M310" t="str">
        <f t="shared" si="46"/>
        <v>VAR_SetVariable(VAR_LLOAD1_POWER_W, Cells[72].Temp_C, validflag);</v>
      </c>
      <c r="N310" t="str">
        <f t="shared" si="39"/>
        <v>COM_AddStreamedVariable(VAR_LLOAD1_POWER_W, 1000);</v>
      </c>
      <c r="O310" t="str">
        <f t="shared" si="47"/>
        <v>cJSON_AddItemToObject(Uha, "VAR_LLOAD1_POWER_W", cJSON_CreateNumber(mVars[VAR_LLOAD1_POWER_W]));</v>
      </c>
      <c r="P310" t="str">
        <f t="shared" si="48"/>
        <v>cJSON_AddItemToObject(Uha, "VAR_LLOAD1_POWER_W", cJSON_CreateNumber(mVars[308]));</v>
      </c>
    </row>
    <row r="311" spans="3:16">
      <c r="C311" s="1">
        <v>309</v>
      </c>
      <c r="D311" s="1" t="str">
        <f t="shared" si="36"/>
        <v>0135</v>
      </c>
      <c r="E311" s="25" t="s">
        <v>446</v>
      </c>
      <c r="H311" t="str">
        <f t="shared" si="43"/>
        <v>#define  VAR_LLOAD1_CONS_WH  309</v>
      </c>
      <c r="I311" t="str">
        <f t="shared" si="44"/>
        <v>public const byte VAR_LLOAD1_CONS_WH = 309;</v>
      </c>
      <c r="J311">
        <v>73</v>
      </c>
      <c r="L311" t="str">
        <f t="shared" si="45"/>
        <v>UpdateScanList(VAR_LLOAD1_CONS_WH, 2000);</v>
      </c>
      <c r="M311" t="str">
        <f t="shared" si="46"/>
        <v>VAR_SetVariable(VAR_LLOAD1_CONS_WH, Cells[73].Temp_C, validflag);</v>
      </c>
      <c r="N311" t="str">
        <f t="shared" si="39"/>
        <v>COM_AddStreamedVariable(VAR_LLOAD1_CONS_WH, 1000);</v>
      </c>
      <c r="O311" t="str">
        <f t="shared" si="47"/>
        <v>cJSON_AddItemToObject(Uha, "VAR_LLOAD1_CONS_WH", cJSON_CreateNumber(mVars[VAR_LLOAD1_CONS_WH]));</v>
      </c>
      <c r="P311" t="str">
        <f t="shared" si="48"/>
        <v>cJSON_AddItemToObject(Uha, "VAR_LLOAD1_CONS_WH", cJSON_CreateNumber(mVars[309]));</v>
      </c>
    </row>
    <row r="312" spans="3:16">
      <c r="C312" s="1">
        <v>310</v>
      </c>
      <c r="D312" s="1" t="str">
        <f t="shared" si="36"/>
        <v>0136</v>
      </c>
      <c r="E312" s="25" t="s">
        <v>447</v>
      </c>
      <c r="H312" t="str">
        <f t="shared" si="43"/>
        <v>#define  VAR_LPV1_POWER_W  310</v>
      </c>
      <c r="I312" t="str">
        <f t="shared" si="44"/>
        <v>public const byte VAR_LPV1_POWER_W = 310;</v>
      </c>
      <c r="J312">
        <v>74</v>
      </c>
      <c r="L312" t="str">
        <f t="shared" si="45"/>
        <v>UpdateScanList(VAR_LPV1_POWER_W, 2000);</v>
      </c>
      <c r="M312" t="str">
        <f t="shared" si="46"/>
        <v>VAR_SetVariable(VAR_LPV1_POWER_W, Cells[74].Temp_C, validflag);</v>
      </c>
      <c r="N312" t="str">
        <f t="shared" si="39"/>
        <v>COM_AddStreamedVariable(VAR_LPV1_POWER_W, 1000);</v>
      </c>
      <c r="O312" t="str">
        <f t="shared" si="47"/>
        <v>cJSON_AddItemToObject(Uha, "VAR_LPV1_POWER_W", cJSON_CreateNumber(mVars[VAR_LPV1_POWER_W]));</v>
      </c>
      <c r="P312" t="str">
        <f t="shared" si="48"/>
        <v>cJSON_AddItemToObject(Uha, "VAR_LPV1_POWER_W", cJSON_CreateNumber(mVars[310]));</v>
      </c>
    </row>
    <row r="313" spans="3:16">
      <c r="C313" s="1">
        <v>311</v>
      </c>
      <c r="D313" s="1" t="str">
        <f t="shared" si="36"/>
        <v>0137</v>
      </c>
      <c r="E313" s="25" t="s">
        <v>448</v>
      </c>
      <c r="H313" t="str">
        <f t="shared" si="43"/>
        <v>#define  VAR_LPV1_PROD_WH  311</v>
      </c>
      <c r="I313" t="str">
        <f t="shared" si="44"/>
        <v>public const byte VAR_LPV1_PROD_WH = 311;</v>
      </c>
      <c r="J313">
        <v>75</v>
      </c>
      <c r="L313" t="str">
        <f t="shared" si="45"/>
        <v>UpdateScanList(VAR_LPV1_PROD_WH, 2000);</v>
      </c>
      <c r="M313" t="str">
        <f t="shared" si="46"/>
        <v>VAR_SetVariable(VAR_LPV1_PROD_WH, Cells[75].Temp_C, validflag);</v>
      </c>
      <c r="N313" t="str">
        <f t="shared" si="39"/>
        <v>COM_AddStreamedVariable(VAR_LPV1_PROD_WH, 1000);</v>
      </c>
      <c r="O313" t="str">
        <f t="shared" si="47"/>
        <v>cJSON_AddItemToObject(Uha, "VAR_LPV1_PROD_WH", cJSON_CreateNumber(mVars[VAR_LPV1_PROD_WH]));</v>
      </c>
      <c r="P313" t="str">
        <f t="shared" si="48"/>
        <v>cJSON_AddItemToObject(Uha, "VAR_LPV1_PROD_WH", cJSON_CreateNumber(mVars[311]));</v>
      </c>
    </row>
    <row r="314" spans="3:16">
      <c r="C314" s="1">
        <v>312</v>
      </c>
      <c r="D314" s="1" t="str">
        <f t="shared" si="36"/>
        <v>0138</v>
      </c>
      <c r="E314" s="25" t="s">
        <v>451</v>
      </c>
      <c r="H314" t="str">
        <f t="shared" si="43"/>
        <v>#define  VAR_LPV1_S1_POWER_W  312</v>
      </c>
      <c r="I314" t="str">
        <f t="shared" si="44"/>
        <v>public const byte VAR_LPV1_S1_POWER_W = 312;</v>
      </c>
      <c r="J314">
        <v>76</v>
      </c>
      <c r="L314" t="str">
        <f t="shared" si="45"/>
        <v>UpdateScanList(VAR_LPV1_S1_POWER_W, 2000);</v>
      </c>
      <c r="M314" t="str">
        <f t="shared" si="46"/>
        <v>VAR_SetVariable(VAR_LPV1_S1_POWER_W, Cells[76].Temp_C, validflag);</v>
      </c>
      <c r="N314" t="str">
        <f t="shared" si="39"/>
        <v>COM_AddStreamedVariable(VAR_LPV1_S1_POWER_W, 1000);</v>
      </c>
      <c r="O314" t="str">
        <f t="shared" si="47"/>
        <v>cJSON_AddItemToObject(Uha, "VAR_LPV1_S1_POWER_W", cJSON_CreateNumber(mVars[VAR_LPV1_S1_POWER_W]));</v>
      </c>
      <c r="P314" t="str">
        <f t="shared" si="48"/>
        <v>cJSON_AddItemToObject(Uha, "VAR_LPV1_S1_POWER_W", cJSON_CreateNumber(mVars[312]));</v>
      </c>
    </row>
    <row r="315" spans="3:16">
      <c r="C315" s="1">
        <v>313</v>
      </c>
      <c r="D315" s="1" t="str">
        <f t="shared" si="36"/>
        <v>0139</v>
      </c>
      <c r="E315" s="25" t="s">
        <v>450</v>
      </c>
      <c r="H315" t="str">
        <f t="shared" si="43"/>
        <v>#define  VAR_LPV1_S1_CURRENT_A10  313</v>
      </c>
      <c r="I315" t="str">
        <f t="shared" si="44"/>
        <v>public const byte VAR_LPV1_S1_CURRENT_A10 = 313;</v>
      </c>
      <c r="J315">
        <v>77</v>
      </c>
      <c r="L315" t="str">
        <f t="shared" si="45"/>
        <v>UpdateScanList(VAR_LPV1_S1_CURRENT_A10, 2000);</v>
      </c>
      <c r="M315" t="str">
        <f t="shared" si="46"/>
        <v>VAR_SetVariable(VAR_LPV1_S1_CURRENT_A10, Cells[77].Temp_C, validflag);</v>
      </c>
      <c r="N315" t="str">
        <f t="shared" si="39"/>
        <v>COM_AddStreamedVariable(VAR_LPV1_S1_CURRENT_A10, 1000);</v>
      </c>
      <c r="O315" t="str">
        <f t="shared" si="47"/>
        <v>cJSON_AddItemToObject(Uha, "VAR_LPV1_S1_CURRENT_A10", cJSON_CreateNumber(mVars[VAR_LPV1_S1_CURRENT_A10]));</v>
      </c>
      <c r="P315" t="str">
        <f t="shared" si="48"/>
        <v>cJSON_AddItemToObject(Uha, "VAR_LPV1_S1_CURRENT_A10", cJSON_CreateNumber(mVars[313]));</v>
      </c>
    </row>
    <row r="316" spans="3:16">
      <c r="C316" s="1">
        <v>314</v>
      </c>
      <c r="D316" s="1" t="str">
        <f t="shared" si="36"/>
        <v>013A</v>
      </c>
      <c r="E316" s="25" t="s">
        <v>449</v>
      </c>
      <c r="H316" t="str">
        <f t="shared" si="43"/>
        <v>#define  VAR_LPV1_S1_VOLTAGE_V  314</v>
      </c>
      <c r="I316" t="str">
        <f t="shared" si="44"/>
        <v>public const byte VAR_LPV1_S1_VOLTAGE_V = 314;</v>
      </c>
      <c r="J316">
        <v>78</v>
      </c>
      <c r="L316" t="str">
        <f t="shared" si="45"/>
        <v>UpdateScanList(VAR_LPV1_S1_VOLTAGE_V, 2000);</v>
      </c>
      <c r="M316" t="str">
        <f t="shared" si="46"/>
        <v>VAR_SetVariable(VAR_LPV1_S1_VOLTAGE_V, Cells[78].Temp_C, validflag);</v>
      </c>
      <c r="N316" t="str">
        <f t="shared" si="39"/>
        <v>COM_AddStreamedVariable(VAR_LPV1_S1_VOLTAGE_V, 1000);</v>
      </c>
      <c r="O316" t="str">
        <f t="shared" si="47"/>
        <v>cJSON_AddItemToObject(Uha, "VAR_LPV1_S1_VOLTAGE_V", cJSON_CreateNumber(mVars[VAR_LPV1_S1_VOLTAGE_V]));</v>
      </c>
      <c r="P316" t="str">
        <f t="shared" si="48"/>
        <v>cJSON_AddItemToObject(Uha, "VAR_LPV1_S1_VOLTAGE_V", cJSON_CreateNumber(mVars[314]));</v>
      </c>
    </row>
    <row r="317" spans="3:16">
      <c r="C317" s="1">
        <v>315</v>
      </c>
      <c r="D317" s="1" t="str">
        <f t="shared" si="36"/>
        <v>013B</v>
      </c>
      <c r="E317" s="25" t="s">
        <v>452</v>
      </c>
      <c r="H317" t="str">
        <f t="shared" si="43"/>
        <v>#define  VAR_LPV1_S2_POWER_W  315</v>
      </c>
      <c r="I317" t="str">
        <f t="shared" si="44"/>
        <v>public const byte VAR_LPV1_S2_POWER_W = 315;</v>
      </c>
      <c r="J317">
        <v>79</v>
      </c>
      <c r="L317" t="str">
        <f t="shared" si="45"/>
        <v>UpdateScanList(VAR_LPV1_S2_POWER_W, 2000);</v>
      </c>
      <c r="M317" t="str">
        <f t="shared" si="46"/>
        <v>VAR_SetVariable(VAR_LPV1_S2_POWER_W, Cells[79].Temp_C, validflag);</v>
      </c>
      <c r="N317" t="str">
        <f t="shared" si="39"/>
        <v>COM_AddStreamedVariable(VAR_LPV1_S2_POWER_W, 1000);</v>
      </c>
      <c r="O317" t="str">
        <f t="shared" si="47"/>
        <v>cJSON_AddItemToObject(Uha, "VAR_LPV1_S2_POWER_W", cJSON_CreateNumber(mVars[VAR_LPV1_S2_POWER_W]));</v>
      </c>
      <c r="P317" t="str">
        <f t="shared" si="48"/>
        <v>cJSON_AddItemToObject(Uha, "VAR_LPV1_S2_POWER_W", cJSON_CreateNumber(mVars[315]));</v>
      </c>
    </row>
    <row r="318" spans="3:16">
      <c r="C318" s="1">
        <v>316</v>
      </c>
      <c r="D318" s="1" t="str">
        <f t="shared" si="36"/>
        <v>013C</v>
      </c>
      <c r="E318" s="25" t="s">
        <v>453</v>
      </c>
      <c r="H318" t="str">
        <f t="shared" si="43"/>
        <v>#define  VAR_LPV1_S2_CURRENT_A10  316</v>
      </c>
      <c r="I318" t="str">
        <f t="shared" si="44"/>
        <v>public const byte VAR_LPV1_S2_CURRENT_A10 = 316;</v>
      </c>
      <c r="J318">
        <v>80</v>
      </c>
      <c r="L318" t="str">
        <f t="shared" si="45"/>
        <v>UpdateScanList(VAR_LPV1_S2_CURRENT_A10, 2000);</v>
      </c>
      <c r="M318" t="str">
        <f t="shared" si="46"/>
        <v>VAR_SetVariable(VAR_LPV1_S2_CURRENT_A10, Cells[80].Temp_C, validflag);</v>
      </c>
      <c r="N318" t="str">
        <f t="shared" si="39"/>
        <v>COM_AddStreamedVariable(VAR_LPV1_S2_CURRENT_A10, 1000);</v>
      </c>
      <c r="O318" t="str">
        <f t="shared" si="47"/>
        <v>cJSON_AddItemToObject(Uha, "VAR_LPV1_S2_CURRENT_A10", cJSON_CreateNumber(mVars[VAR_LPV1_S2_CURRENT_A10]));</v>
      </c>
      <c r="P318" t="str">
        <f t="shared" si="48"/>
        <v>cJSON_AddItemToObject(Uha, "VAR_LPV1_S2_CURRENT_A10", cJSON_CreateNumber(mVars[316]));</v>
      </c>
    </row>
    <row r="319" spans="3:16">
      <c r="C319" s="1">
        <v>317</v>
      </c>
      <c r="D319" s="1" t="str">
        <f t="shared" si="36"/>
        <v>013D</v>
      </c>
      <c r="E319" s="25" t="s">
        <v>454</v>
      </c>
      <c r="H319" t="str">
        <f t="shared" si="43"/>
        <v>#define  VAR_LPV1_S2_VOLTAGE_V  317</v>
      </c>
      <c r="I319" t="str">
        <f t="shared" si="44"/>
        <v>public const byte VAR_LPV1_S2_VOLTAGE_V = 317;</v>
      </c>
      <c r="J319">
        <v>81</v>
      </c>
      <c r="L319" t="str">
        <f t="shared" si="45"/>
        <v>UpdateScanList(VAR_LPV1_S2_VOLTAGE_V, 2000);</v>
      </c>
      <c r="M319" t="str">
        <f t="shared" si="46"/>
        <v>VAR_SetVariable(VAR_LPV1_S2_VOLTAGE_V, Cells[81].Temp_C, validflag);</v>
      </c>
      <c r="N319" t="str">
        <f t="shared" si="39"/>
        <v>COM_AddStreamedVariable(VAR_LPV1_S2_VOLTAGE_V, 1000);</v>
      </c>
      <c r="O319" t="str">
        <f t="shared" si="47"/>
        <v>cJSON_AddItemToObject(Uha, "VAR_LPV1_S2_VOLTAGE_V", cJSON_CreateNumber(mVars[VAR_LPV1_S2_VOLTAGE_V]));</v>
      </c>
      <c r="P319" t="str">
        <f t="shared" si="48"/>
        <v>cJSON_AddItemToObject(Uha, "VAR_LPV1_S2_VOLTAGE_V", cJSON_CreateNumber(mVars[317]));</v>
      </c>
    </row>
    <row r="320" spans="3:16">
      <c r="C320" s="1">
        <v>318</v>
      </c>
      <c r="D320" s="1" t="str">
        <f t="shared" si="36"/>
        <v>013E</v>
      </c>
      <c r="E320" s="25"/>
      <c r="N320" t="str">
        <f t="shared" si="39"/>
        <v>COM_AddStreamedVariable(, 1000);</v>
      </c>
    </row>
    <row r="321" spans="3:16">
      <c r="C321" s="1">
        <v>319</v>
      </c>
      <c r="D321" s="1" t="str">
        <f t="shared" si="36"/>
        <v>013F</v>
      </c>
      <c r="E321" s="25"/>
      <c r="N321" t="str">
        <f t="shared" si="39"/>
        <v>COM_AddStreamedVariable(, 1000);</v>
      </c>
    </row>
    <row r="322" spans="3:16">
      <c r="C322" s="1">
        <v>320</v>
      </c>
      <c r="D322" s="1" t="str">
        <f t="shared" si="36"/>
        <v>0140</v>
      </c>
      <c r="E322" s="25" t="s">
        <v>455</v>
      </c>
      <c r="H322" t="str">
        <f t="shared" si="43"/>
        <v>#define  VAR_STRG2_SOC  320</v>
      </c>
      <c r="I322" t="str">
        <f t="shared" si="44"/>
        <v>public const byte VAR_STRG2_SOC = 320;</v>
      </c>
      <c r="J322">
        <v>84</v>
      </c>
      <c r="L322" t="str">
        <f t="shared" si="45"/>
        <v>UpdateScanList(VAR_STRG2_SOC, 2000);</v>
      </c>
      <c r="M322" t="str">
        <f t="shared" si="46"/>
        <v>VAR_SetVariable(VAR_STRG2_SOC, Cells[84].Temp_C, validflag);</v>
      </c>
      <c r="N322" t="str">
        <f t="shared" si="39"/>
        <v>COM_AddStreamedVariable(VAR_STRG2_SOC, 1000);</v>
      </c>
      <c r="O322" t="str">
        <f t="shared" si="47"/>
        <v>cJSON_AddItemToObject(Uha, "VAR_STRG2_SOC", cJSON_CreateNumber(mVars[VAR_STRG2_SOC]));</v>
      </c>
      <c r="P322" t="str">
        <f t="shared" si="48"/>
        <v>cJSON_AddItemToObject(Uha, "VAR_STRG2_SOC", cJSON_CreateNumber(mVars[320]));</v>
      </c>
    </row>
    <row r="323" spans="3:16">
      <c r="C323" s="1">
        <v>321</v>
      </c>
      <c r="D323" s="1" t="str">
        <f t="shared" ref="D323:D352" si="49">DEC2HEX(C323,4)</f>
        <v>0141</v>
      </c>
      <c r="E323" s="25" t="s">
        <v>456</v>
      </c>
      <c r="H323" t="str">
        <f t="shared" si="43"/>
        <v>#define  VAR_STRG2_POWER_W  321</v>
      </c>
      <c r="I323" t="str">
        <f t="shared" si="44"/>
        <v>public const byte VAR_STRG2_POWER_W = 321;</v>
      </c>
      <c r="J323">
        <v>85</v>
      </c>
      <c r="L323" t="str">
        <f t="shared" si="45"/>
        <v>UpdateScanList(VAR_STRG2_POWER_W, 2000);</v>
      </c>
      <c r="M323" t="str">
        <f t="shared" si="46"/>
        <v>VAR_SetVariable(VAR_STRG2_POWER_W, Cells[85].Temp_C, validflag);</v>
      </c>
      <c r="N323" t="str">
        <f t="shared" si="39"/>
        <v>COM_AddStreamedVariable(VAR_STRG2_POWER_W, 1000);</v>
      </c>
      <c r="O323" t="str">
        <f t="shared" si="47"/>
        <v>cJSON_AddItemToObject(Uha, "VAR_STRG2_POWER_W", cJSON_CreateNumber(mVars[VAR_STRG2_POWER_W]));</v>
      </c>
      <c r="P323" t="str">
        <f t="shared" si="48"/>
        <v>cJSON_AddItemToObject(Uha, "VAR_STRG2_POWER_W", cJSON_CreateNumber(mVars[321]));</v>
      </c>
    </row>
    <row r="324" spans="3:16">
      <c r="C324" s="1">
        <v>322</v>
      </c>
      <c r="D324" s="1" t="str">
        <f t="shared" si="49"/>
        <v>0142</v>
      </c>
      <c r="E324" s="25" t="s">
        <v>475</v>
      </c>
      <c r="H324" t="str">
        <f t="shared" si="43"/>
        <v>#define  VAR_STRG2_CURRENT_A10  322</v>
      </c>
      <c r="I324" t="str">
        <f t="shared" si="44"/>
        <v>public const byte VAR_STRG2_CURRENT_A10 = 322;</v>
      </c>
      <c r="J324">
        <v>86</v>
      </c>
      <c r="L324" t="str">
        <f t="shared" si="45"/>
        <v>UpdateScanList(VAR_STRG2_CURRENT_A10, 2000);</v>
      </c>
      <c r="M324" t="str">
        <f t="shared" si="46"/>
        <v>VAR_SetVariable(VAR_STRG2_CURRENT_A10, Cells[86].Temp_C, validflag);</v>
      </c>
      <c r="N324" t="str">
        <f t="shared" si="39"/>
        <v>COM_AddStreamedVariable(VAR_STRG2_CURRENT_A10, 1000);</v>
      </c>
      <c r="O324" t="str">
        <f t="shared" si="47"/>
        <v>cJSON_AddItemToObject(Uha, "VAR_STRG2_CURRENT_A10", cJSON_CreateNumber(mVars[VAR_STRG2_CURRENT_A10]));</v>
      </c>
      <c r="P324" t="str">
        <f t="shared" si="48"/>
        <v>cJSON_AddItemToObject(Uha, "VAR_STRG2_CURRENT_A10", cJSON_CreateNumber(mVars[322]));</v>
      </c>
    </row>
    <row r="325" spans="3:16">
      <c r="C325" s="1">
        <v>323</v>
      </c>
      <c r="D325" s="1" t="str">
        <f t="shared" si="49"/>
        <v>0143</v>
      </c>
      <c r="E325" s="25" t="s">
        <v>457</v>
      </c>
      <c r="H325" t="str">
        <f t="shared" si="43"/>
        <v>#define  VAR_STRG2_ENERGY_WH  323</v>
      </c>
      <c r="I325" t="str">
        <f t="shared" si="44"/>
        <v>public const byte VAR_STRG2_ENERGY_WH = 323;</v>
      </c>
      <c r="J325">
        <v>87</v>
      </c>
      <c r="L325" t="str">
        <f t="shared" si="45"/>
        <v>UpdateScanList(VAR_STRG2_ENERGY_WH, 2000);</v>
      </c>
      <c r="M325" t="str">
        <f t="shared" si="46"/>
        <v>VAR_SetVariable(VAR_STRG2_ENERGY_WH, Cells[87].Temp_C, validflag);</v>
      </c>
      <c r="N325" t="str">
        <f t="shared" si="39"/>
        <v>COM_AddStreamedVariable(VAR_STRG2_ENERGY_WH, 1000);</v>
      </c>
      <c r="O325" t="str">
        <f t="shared" si="47"/>
        <v>cJSON_AddItemToObject(Uha, "VAR_STRG2_ENERGY_WH", cJSON_CreateNumber(mVars[VAR_STRG2_ENERGY_WH]));</v>
      </c>
      <c r="P325" t="str">
        <f t="shared" si="48"/>
        <v>cJSON_AddItemToObject(Uha, "VAR_STRG2_ENERGY_WH", cJSON_CreateNumber(mVars[323]));</v>
      </c>
    </row>
    <row r="326" spans="3:16">
      <c r="C326" s="1">
        <v>324</v>
      </c>
      <c r="D326" s="1" t="str">
        <f t="shared" si="49"/>
        <v>0144</v>
      </c>
      <c r="E326" s="25" t="s">
        <v>458</v>
      </c>
      <c r="H326" t="str">
        <f t="shared" si="43"/>
        <v>#define  VAR_STRG2_OPT_CHARGING_A  324</v>
      </c>
      <c r="I326" t="str">
        <f t="shared" si="44"/>
        <v>public const byte VAR_STRG2_OPT_CHARGING_A = 324;</v>
      </c>
      <c r="J326">
        <v>88</v>
      </c>
      <c r="L326" t="str">
        <f t="shared" si="45"/>
        <v>UpdateScanList(VAR_STRG2_OPT_CHARGING_A, 2000);</v>
      </c>
      <c r="M326" t="str">
        <f t="shared" si="46"/>
        <v>VAR_SetVariable(VAR_STRG2_OPT_CHARGING_A, Cells[88].Temp_C, validflag);</v>
      </c>
      <c r="N326" t="str">
        <f t="shared" si="39"/>
        <v>COM_AddStreamedVariable(VAR_STRG2_OPT_CHARGING_A, 1000);</v>
      </c>
      <c r="O326" t="str">
        <f t="shared" si="47"/>
        <v>cJSON_AddItemToObject(Uha, "VAR_STRG2_OPT_CHARGING_A", cJSON_CreateNumber(mVars[VAR_STRG2_OPT_CHARGING_A]));</v>
      </c>
      <c r="P326" t="str">
        <f t="shared" si="48"/>
        <v>cJSON_AddItemToObject(Uha, "VAR_STRG2_OPT_CHARGING_A", cJSON_CreateNumber(mVars[324]));</v>
      </c>
    </row>
    <row r="327" spans="3:16">
      <c r="C327" s="1">
        <v>325</v>
      </c>
      <c r="D327" s="1" t="str">
        <f t="shared" si="49"/>
        <v>0145</v>
      </c>
      <c r="E327" s="25" t="s">
        <v>470</v>
      </c>
      <c r="H327" t="str">
        <f t="shared" si="43"/>
        <v>#define  VAR_STRG2_CAPACITY_AH  325</v>
      </c>
      <c r="I327" t="str">
        <f t="shared" si="44"/>
        <v>public const byte VAR_STRG2_CAPACITY_AH = 325;</v>
      </c>
      <c r="J327">
        <v>89</v>
      </c>
      <c r="L327" t="str">
        <f t="shared" si="45"/>
        <v>UpdateScanList(VAR_STRG2_CAPACITY_AH, 2000);</v>
      </c>
      <c r="M327" t="str">
        <f t="shared" si="46"/>
        <v>VAR_SetVariable(VAR_STRG2_CAPACITY_AH, Cells[89].Temp_C, validflag);</v>
      </c>
      <c r="N327" t="str">
        <f t="shared" si="39"/>
        <v>COM_AddStreamedVariable(VAR_STRG2_CAPACITY_AH, 1000);</v>
      </c>
      <c r="O327" t="str">
        <f t="shared" si="47"/>
        <v>cJSON_AddItemToObject(Uha, "VAR_STRG2_CAPACITY_AH", cJSON_CreateNumber(mVars[VAR_STRG2_CAPACITY_AH]));</v>
      </c>
      <c r="P327" t="str">
        <f t="shared" si="48"/>
        <v>cJSON_AddItemToObject(Uha, "VAR_STRG2_CAPACITY_AH", cJSON_CreateNumber(mVars[325]));</v>
      </c>
    </row>
    <row r="328" spans="3:16">
      <c r="C328" s="1">
        <v>326</v>
      </c>
      <c r="D328" s="1" t="str">
        <f t="shared" si="49"/>
        <v>0146</v>
      </c>
      <c r="E328" s="25" t="s">
        <v>472</v>
      </c>
      <c r="H328" t="str">
        <f t="shared" si="43"/>
        <v>#define  VAR_STRG2_BALANCED_TODAY  326</v>
      </c>
      <c r="I328" t="str">
        <f t="shared" si="44"/>
        <v>public const byte VAR_STRG2_BALANCED_TODAY = 326;</v>
      </c>
      <c r="J328">
        <v>90</v>
      </c>
      <c r="L328" t="str">
        <f t="shared" si="45"/>
        <v>UpdateScanList(VAR_STRG2_BALANCED_TODAY, 2000);</v>
      </c>
      <c r="M328" t="str">
        <f t="shared" si="46"/>
        <v>VAR_SetVariable(VAR_STRG2_BALANCED_TODAY, Cells[90].Temp_C, validflag);</v>
      </c>
      <c r="N328" t="str">
        <f t="shared" si="39"/>
        <v>COM_AddStreamedVariable(VAR_STRG2_BALANCED_TODAY, 1000);</v>
      </c>
      <c r="O328" t="str">
        <f t="shared" si="47"/>
        <v>cJSON_AddItemToObject(Uha, "VAR_STRG2_BALANCED_TODAY", cJSON_CreateNumber(mVars[VAR_STRG2_BALANCED_TODAY]));</v>
      </c>
      <c r="P328" t="str">
        <f t="shared" si="48"/>
        <v>cJSON_AddItemToObject(Uha, "VAR_STRG2_BALANCED_TODAY", cJSON_CreateNumber(mVars[326]));</v>
      </c>
    </row>
    <row r="329" spans="3:16">
      <c r="C329" s="1">
        <v>327</v>
      </c>
      <c r="D329" s="1" t="str">
        <f t="shared" si="49"/>
        <v>0147</v>
      </c>
      <c r="E329" t="s">
        <v>474</v>
      </c>
      <c r="H329" t="str">
        <f t="shared" si="43"/>
        <v>#define  VAR_STRG2_VOLTAGE_V10  327</v>
      </c>
      <c r="I329" t="str">
        <f t="shared" si="44"/>
        <v>public const byte VAR_STRG2_VOLTAGE_V10 = 327;</v>
      </c>
      <c r="J329">
        <v>91</v>
      </c>
      <c r="L329" t="str">
        <f t="shared" si="45"/>
        <v>UpdateScanList(VAR_STRG2_VOLTAGE_V10, 2000);</v>
      </c>
      <c r="M329" t="str">
        <f t="shared" si="46"/>
        <v>VAR_SetVariable(VAR_STRG2_VOLTAGE_V10, Cells[91].Temp_C, validflag);</v>
      </c>
      <c r="N329" t="str">
        <f t="shared" si="39"/>
        <v>COM_AddStreamedVariable(VAR_STRG2_VOLTAGE_V10, 1000);</v>
      </c>
      <c r="O329" t="str">
        <f t="shared" si="47"/>
        <v>cJSON_AddItemToObject(Uha, "VAR_STRG2_VOLTAGE_V10", cJSON_CreateNumber(mVars[VAR_STRG2_VOLTAGE_V10]));</v>
      </c>
      <c r="P329" t="str">
        <f t="shared" si="48"/>
        <v>cJSON_AddItemToObject(Uha, "VAR_STRG2_VOLTAGE_V10", cJSON_CreateNumber(mVars[327]));</v>
      </c>
    </row>
    <row r="330" spans="3:16">
      <c r="C330" s="1">
        <v>328</v>
      </c>
      <c r="D330" s="1" t="str">
        <f t="shared" si="49"/>
        <v>0148</v>
      </c>
      <c r="E330" s="25" t="s">
        <v>459</v>
      </c>
      <c r="H330" t="str">
        <f t="shared" si="43"/>
        <v>#define  VAR_LLOAD2_POWER_W  328</v>
      </c>
      <c r="I330" t="str">
        <f t="shared" si="44"/>
        <v>public const byte VAR_LLOAD2_POWER_W = 328;</v>
      </c>
      <c r="J330">
        <v>92</v>
      </c>
      <c r="L330" t="str">
        <f t="shared" si="45"/>
        <v>UpdateScanList(VAR_LLOAD2_POWER_W, 2000);</v>
      </c>
      <c r="M330" t="str">
        <f t="shared" si="46"/>
        <v>VAR_SetVariable(VAR_LLOAD2_POWER_W, Cells[92].Temp_C, validflag);</v>
      </c>
      <c r="N330" t="str">
        <f t="shared" si="39"/>
        <v>COM_AddStreamedVariable(VAR_LLOAD2_POWER_W, 1000);</v>
      </c>
      <c r="O330" t="str">
        <f t="shared" si="47"/>
        <v>cJSON_AddItemToObject(Uha, "VAR_LLOAD2_POWER_W", cJSON_CreateNumber(mVars[VAR_LLOAD2_POWER_W]));</v>
      </c>
      <c r="P330" t="str">
        <f t="shared" si="48"/>
        <v>cJSON_AddItemToObject(Uha, "VAR_LLOAD2_POWER_W", cJSON_CreateNumber(mVars[328]));</v>
      </c>
    </row>
    <row r="331" spans="3:16">
      <c r="C331" s="1">
        <v>329</v>
      </c>
      <c r="D331" s="1" t="str">
        <f t="shared" si="49"/>
        <v>0149</v>
      </c>
      <c r="E331" s="25" t="s">
        <v>460</v>
      </c>
      <c r="H331" t="str">
        <f t="shared" si="43"/>
        <v>#define  VAR_LLOAD2_CONS_WH  329</v>
      </c>
      <c r="I331" t="str">
        <f t="shared" si="44"/>
        <v>public const byte VAR_LLOAD2_CONS_WH = 329;</v>
      </c>
      <c r="J331">
        <v>93</v>
      </c>
      <c r="L331" t="str">
        <f t="shared" si="45"/>
        <v>UpdateScanList(VAR_LLOAD2_CONS_WH, 2000);</v>
      </c>
      <c r="M331" t="str">
        <f t="shared" si="46"/>
        <v>VAR_SetVariable(VAR_LLOAD2_CONS_WH, Cells[93].Temp_C, validflag);</v>
      </c>
      <c r="N331" t="str">
        <f t="shared" ref="N331:N347" si="50">CONCATENATE("COM_AddStreamedVariable(",E331, ", 1000);")</f>
        <v>COM_AddStreamedVariable(VAR_LLOAD2_CONS_WH, 1000);</v>
      </c>
      <c r="O331" t="str">
        <f t="shared" si="47"/>
        <v>cJSON_AddItemToObject(Uha, "VAR_LLOAD2_CONS_WH", cJSON_CreateNumber(mVars[VAR_LLOAD2_CONS_WH]));</v>
      </c>
      <c r="P331" t="str">
        <f t="shared" si="48"/>
        <v>cJSON_AddItemToObject(Uha, "VAR_LLOAD2_CONS_WH", cJSON_CreateNumber(mVars[329]));</v>
      </c>
    </row>
    <row r="332" spans="3:16">
      <c r="C332" s="1">
        <v>330</v>
      </c>
      <c r="D332" s="1" t="str">
        <f t="shared" si="49"/>
        <v>014A</v>
      </c>
      <c r="E332" s="25" t="s">
        <v>461</v>
      </c>
      <c r="H332" t="str">
        <f t="shared" si="43"/>
        <v>#define  VAR_LPV2_POWER_W  330</v>
      </c>
      <c r="I332" t="str">
        <f t="shared" si="44"/>
        <v>public const byte VAR_LPV2_POWER_W = 330;</v>
      </c>
      <c r="J332">
        <v>94</v>
      </c>
      <c r="L332" t="str">
        <f t="shared" si="45"/>
        <v>UpdateScanList(VAR_LPV2_POWER_W, 2000);</v>
      </c>
      <c r="M332" t="str">
        <f t="shared" si="46"/>
        <v>VAR_SetVariable(VAR_LPV2_POWER_W, Cells[94].Temp_C, validflag);</v>
      </c>
      <c r="N332" t="str">
        <f t="shared" si="50"/>
        <v>COM_AddStreamedVariable(VAR_LPV2_POWER_W, 1000);</v>
      </c>
      <c r="O332" t="str">
        <f t="shared" si="47"/>
        <v>cJSON_AddItemToObject(Uha, "VAR_LPV2_POWER_W", cJSON_CreateNumber(mVars[VAR_LPV2_POWER_W]));</v>
      </c>
      <c r="P332" t="str">
        <f t="shared" si="48"/>
        <v>cJSON_AddItemToObject(Uha, "VAR_LPV2_POWER_W", cJSON_CreateNumber(mVars[330]));</v>
      </c>
    </row>
    <row r="333" spans="3:16">
      <c r="C333" s="1">
        <v>331</v>
      </c>
      <c r="D333" s="1" t="str">
        <f t="shared" si="49"/>
        <v>014B</v>
      </c>
      <c r="E333" s="25" t="s">
        <v>462</v>
      </c>
      <c r="H333" t="str">
        <f t="shared" si="43"/>
        <v>#define  VAR_LPV2_PROD_WH  331</v>
      </c>
      <c r="I333" t="str">
        <f t="shared" si="44"/>
        <v>public const byte VAR_LPV2_PROD_WH = 331;</v>
      </c>
      <c r="J333">
        <v>95</v>
      </c>
      <c r="L333" t="str">
        <f t="shared" si="45"/>
        <v>UpdateScanList(VAR_LPV2_PROD_WH, 2000);</v>
      </c>
      <c r="M333" t="str">
        <f t="shared" si="46"/>
        <v>VAR_SetVariable(VAR_LPV2_PROD_WH, Cells[95].Temp_C, validflag);</v>
      </c>
      <c r="N333" t="str">
        <f t="shared" si="50"/>
        <v>COM_AddStreamedVariable(VAR_LPV2_PROD_WH, 1000);</v>
      </c>
      <c r="O333" t="str">
        <f t="shared" si="47"/>
        <v>cJSON_AddItemToObject(Uha, "VAR_LPV2_PROD_WH", cJSON_CreateNumber(mVars[VAR_LPV2_PROD_WH]));</v>
      </c>
      <c r="P333" t="str">
        <f t="shared" si="48"/>
        <v>cJSON_AddItemToObject(Uha, "VAR_LPV2_PROD_WH", cJSON_CreateNumber(mVars[331]));</v>
      </c>
    </row>
    <row r="334" spans="3:16">
      <c r="C334" s="1">
        <v>332</v>
      </c>
      <c r="D334" s="1" t="str">
        <f t="shared" si="49"/>
        <v>014C</v>
      </c>
      <c r="E334" s="25" t="s">
        <v>466</v>
      </c>
      <c r="H334" t="str">
        <f t="shared" si="43"/>
        <v>#define  VAR_LPV2_S1_POWER_W  332</v>
      </c>
      <c r="I334" t="str">
        <f t="shared" si="44"/>
        <v>public const byte VAR_LPV2_S1_POWER_W = 332;</v>
      </c>
      <c r="J334">
        <v>96</v>
      </c>
      <c r="L334" t="str">
        <f t="shared" si="45"/>
        <v>UpdateScanList(VAR_LPV2_S1_POWER_W, 2000);</v>
      </c>
      <c r="M334" t="str">
        <f t="shared" si="46"/>
        <v>VAR_SetVariable(VAR_LPV2_S1_POWER_W, Cells[96].Temp_C, validflag);</v>
      </c>
      <c r="N334" t="str">
        <f t="shared" si="50"/>
        <v>COM_AddStreamedVariable(VAR_LPV2_S1_POWER_W, 1000);</v>
      </c>
      <c r="O334" t="str">
        <f t="shared" si="47"/>
        <v>cJSON_AddItemToObject(Uha, "VAR_LPV2_S1_POWER_W", cJSON_CreateNumber(mVars[VAR_LPV2_S1_POWER_W]));</v>
      </c>
      <c r="P334" t="str">
        <f t="shared" si="48"/>
        <v>cJSON_AddItemToObject(Uha, "VAR_LPV2_S1_POWER_W", cJSON_CreateNumber(mVars[332]));</v>
      </c>
    </row>
    <row r="335" spans="3:16">
      <c r="C335" s="1">
        <v>333</v>
      </c>
      <c r="D335" s="1" t="str">
        <f t="shared" si="49"/>
        <v>014D</v>
      </c>
      <c r="E335" s="25" t="s">
        <v>467</v>
      </c>
      <c r="H335" t="str">
        <f t="shared" si="43"/>
        <v>#define  VAR_LPV2_S1_CURRENT_A20  333</v>
      </c>
      <c r="I335" t="str">
        <f t="shared" si="44"/>
        <v>public const byte VAR_LPV2_S1_CURRENT_A20 = 333;</v>
      </c>
      <c r="J335">
        <v>97</v>
      </c>
      <c r="L335" t="str">
        <f t="shared" si="45"/>
        <v>UpdateScanList(VAR_LPV2_S1_CURRENT_A20, 2000);</v>
      </c>
      <c r="M335" t="str">
        <f t="shared" si="46"/>
        <v>VAR_SetVariable(VAR_LPV2_S1_CURRENT_A20, Cells[97].Temp_C, validflag);</v>
      </c>
      <c r="N335" t="str">
        <f t="shared" si="50"/>
        <v>COM_AddStreamedVariable(VAR_LPV2_S1_CURRENT_A20, 1000);</v>
      </c>
      <c r="O335" t="str">
        <f t="shared" si="47"/>
        <v>cJSON_AddItemToObject(Uha, "VAR_LPV2_S1_CURRENT_A20", cJSON_CreateNumber(mVars[VAR_LPV2_S1_CURRENT_A20]));</v>
      </c>
      <c r="P335" t="str">
        <f t="shared" si="48"/>
        <v>cJSON_AddItemToObject(Uha, "VAR_LPV2_S1_CURRENT_A20", cJSON_CreateNumber(mVars[333]));</v>
      </c>
    </row>
    <row r="336" spans="3:16">
      <c r="C336" s="1">
        <v>334</v>
      </c>
      <c r="D336" s="1" t="str">
        <f t="shared" si="49"/>
        <v>014E</v>
      </c>
      <c r="E336" s="25" t="s">
        <v>468</v>
      </c>
      <c r="H336" t="str">
        <f t="shared" si="43"/>
        <v>#define  VAR_LPV2_S1_VOLTAGE_V  334</v>
      </c>
      <c r="I336" t="str">
        <f t="shared" si="44"/>
        <v>public const byte VAR_LPV2_S1_VOLTAGE_V = 334;</v>
      </c>
      <c r="J336">
        <v>98</v>
      </c>
      <c r="L336" t="str">
        <f t="shared" si="45"/>
        <v>UpdateScanList(VAR_LPV2_S1_VOLTAGE_V, 2000);</v>
      </c>
      <c r="M336" t="str">
        <f t="shared" si="46"/>
        <v>VAR_SetVariable(VAR_LPV2_S1_VOLTAGE_V, Cells[98].Temp_C, validflag);</v>
      </c>
      <c r="N336" t="str">
        <f t="shared" si="50"/>
        <v>COM_AddStreamedVariable(VAR_LPV2_S1_VOLTAGE_V, 1000);</v>
      </c>
      <c r="O336" t="str">
        <f t="shared" si="47"/>
        <v>cJSON_AddItemToObject(Uha, "VAR_LPV2_S1_VOLTAGE_V", cJSON_CreateNumber(mVars[VAR_LPV2_S1_VOLTAGE_V]));</v>
      </c>
      <c r="P336" t="str">
        <f t="shared" si="48"/>
        <v>cJSON_AddItemToObject(Uha, "VAR_LPV2_S1_VOLTAGE_V", cJSON_CreateNumber(mVars[334]));</v>
      </c>
    </row>
    <row r="337" spans="3:16">
      <c r="C337" s="1">
        <v>335</v>
      </c>
      <c r="D337" s="1" t="str">
        <f t="shared" si="49"/>
        <v>014F</v>
      </c>
      <c r="E337" s="25" t="s">
        <v>463</v>
      </c>
      <c r="H337" t="str">
        <f t="shared" si="43"/>
        <v>#define  VAR_LPV2_S2_POWER_W  335</v>
      </c>
      <c r="I337" t="str">
        <f t="shared" si="44"/>
        <v>public const byte VAR_LPV2_S2_POWER_W = 335;</v>
      </c>
      <c r="J337">
        <v>99</v>
      </c>
      <c r="L337" t="str">
        <f t="shared" si="45"/>
        <v>UpdateScanList(VAR_LPV2_S2_POWER_W, 2000);</v>
      </c>
      <c r="M337" t="str">
        <f t="shared" si="46"/>
        <v>VAR_SetVariable(VAR_LPV2_S2_POWER_W, Cells[99].Temp_C, validflag);</v>
      </c>
      <c r="N337" t="str">
        <f t="shared" si="50"/>
        <v>COM_AddStreamedVariable(VAR_LPV2_S2_POWER_W, 1000);</v>
      </c>
      <c r="O337" t="str">
        <f t="shared" si="47"/>
        <v>cJSON_AddItemToObject(Uha, "VAR_LPV2_S2_POWER_W", cJSON_CreateNumber(mVars[VAR_LPV2_S2_POWER_W]));</v>
      </c>
      <c r="P337" t="str">
        <f t="shared" si="48"/>
        <v>cJSON_AddItemToObject(Uha, "VAR_LPV2_S2_POWER_W", cJSON_CreateNumber(mVars[335]));</v>
      </c>
    </row>
    <row r="338" spans="3:16">
      <c r="C338" s="1">
        <v>336</v>
      </c>
      <c r="D338" s="1" t="str">
        <f t="shared" si="49"/>
        <v>0150</v>
      </c>
      <c r="E338" s="25" t="s">
        <v>464</v>
      </c>
      <c r="H338" t="str">
        <f t="shared" si="43"/>
        <v>#define  VAR_LPV2_S2_CURRENT_A20  336</v>
      </c>
      <c r="I338" t="str">
        <f t="shared" si="44"/>
        <v>public const byte VAR_LPV2_S2_CURRENT_A20 = 336;</v>
      </c>
      <c r="J338">
        <v>100</v>
      </c>
      <c r="L338" t="str">
        <f t="shared" si="45"/>
        <v>UpdateScanList(VAR_LPV2_S2_CURRENT_A20, 2000);</v>
      </c>
      <c r="M338" t="str">
        <f t="shared" si="46"/>
        <v>VAR_SetVariable(VAR_LPV2_S2_CURRENT_A20, Cells[100].Temp_C, validflag);</v>
      </c>
      <c r="N338" t="str">
        <f t="shared" si="50"/>
        <v>COM_AddStreamedVariable(VAR_LPV2_S2_CURRENT_A20, 1000);</v>
      </c>
      <c r="O338" t="str">
        <f t="shared" si="47"/>
        <v>cJSON_AddItemToObject(Uha, "VAR_LPV2_S2_CURRENT_A20", cJSON_CreateNumber(mVars[VAR_LPV2_S2_CURRENT_A20]));</v>
      </c>
      <c r="P338" t="str">
        <f t="shared" si="48"/>
        <v>cJSON_AddItemToObject(Uha, "VAR_LPV2_S2_CURRENT_A20", cJSON_CreateNumber(mVars[336]));</v>
      </c>
    </row>
    <row r="339" spans="3:16">
      <c r="C339" s="1">
        <v>337</v>
      </c>
      <c r="D339" s="1" t="str">
        <f t="shared" si="49"/>
        <v>0151</v>
      </c>
      <c r="E339" s="25" t="s">
        <v>465</v>
      </c>
      <c r="H339" t="str">
        <f t="shared" si="43"/>
        <v>#define  VAR_LPV2_S2_VOLTAGE_V  337</v>
      </c>
      <c r="I339" t="str">
        <f t="shared" si="44"/>
        <v>public const byte VAR_LPV2_S2_VOLTAGE_V = 337;</v>
      </c>
      <c r="J339">
        <v>101</v>
      </c>
      <c r="L339" t="str">
        <f t="shared" si="45"/>
        <v>UpdateScanList(VAR_LPV2_S2_VOLTAGE_V, 2000);</v>
      </c>
      <c r="M339" t="str">
        <f t="shared" si="46"/>
        <v>VAR_SetVariable(VAR_LPV2_S2_VOLTAGE_V, Cells[101].Temp_C, validflag);</v>
      </c>
      <c r="N339" t="str">
        <f t="shared" si="50"/>
        <v>COM_AddStreamedVariable(VAR_LPV2_S2_VOLTAGE_V, 1000);</v>
      </c>
      <c r="O339" t="str">
        <f t="shared" si="47"/>
        <v>cJSON_AddItemToObject(Uha, "VAR_LPV2_S2_VOLTAGE_V", cJSON_CreateNumber(mVars[VAR_LPV2_S2_VOLTAGE_V]));</v>
      </c>
      <c r="P339" t="str">
        <f t="shared" si="48"/>
        <v>cJSON_AddItemToObject(Uha, "VAR_LPV2_S2_VOLTAGE_V", cJSON_CreateNumber(mVars[337]));</v>
      </c>
    </row>
    <row r="340" spans="3:16">
      <c r="C340" s="1">
        <v>338</v>
      </c>
      <c r="D340" s="1" t="str">
        <f t="shared" si="49"/>
        <v>0152</v>
      </c>
      <c r="N340" t="str">
        <f t="shared" si="50"/>
        <v>COM_AddStreamedVariable(, 1000);</v>
      </c>
    </row>
    <row r="341" spans="3:16">
      <c r="C341" s="1">
        <v>339</v>
      </c>
      <c r="D341" s="1" t="str">
        <f t="shared" si="49"/>
        <v>0153</v>
      </c>
      <c r="N341" t="str">
        <f t="shared" si="50"/>
        <v>COM_AddStreamedVariable(, 1000);</v>
      </c>
    </row>
    <row r="342" spans="3:16">
      <c r="C342" s="1">
        <v>340</v>
      </c>
      <c r="D342" s="1" t="str">
        <f t="shared" si="49"/>
        <v>0154</v>
      </c>
      <c r="E342" s="34" t="s">
        <v>427</v>
      </c>
      <c r="H342" t="str">
        <f>CONCATENATE("#define  ",E342,"  ",C342)</f>
        <v>#define  VAR_LVDC_VDIFF_V100  340</v>
      </c>
      <c r="I342" t="str">
        <f>CONCATENATE("public const byte ",E342," = ",C342,";")</f>
        <v>public const byte VAR_LVDC_VDIFF_V100 = 340;</v>
      </c>
      <c r="J342">
        <v>104</v>
      </c>
      <c r="L342" t="str">
        <f t="shared" si="45"/>
        <v>UpdateScanList(VAR_LVDC_VDIFF_V100, 2000);</v>
      </c>
      <c r="M342" t="str">
        <f>CONCATENATE("VAR_SetVariable(",E342,", Cells[",J342,"].Temp_C", ", validflag);")</f>
        <v>VAR_SetVariable(VAR_LVDC_VDIFF_V100, Cells[104].Temp_C, validflag);</v>
      </c>
      <c r="N342" t="str">
        <f t="shared" si="50"/>
        <v>COM_AddStreamedVariable(VAR_LVDC_VDIFF_V100, 1000);</v>
      </c>
      <c r="O342" t="str">
        <f>IF(ISBLANK(E342),"",CONCATENATE("cJSON_AddItemToObject(Uha, ","""",E342,"""",", cJSON_CreateNumber(mVars[",E342,"]));"))</f>
        <v>cJSON_AddItemToObject(Uha, "VAR_LVDC_VDIFF_V100", cJSON_CreateNumber(mVars[VAR_LVDC_VDIFF_V100]));</v>
      </c>
      <c r="P342" t="str">
        <f>CONCATENATE("cJSON_AddItemToObject(Uha, ","""",E342,"""",", cJSON_CreateNumber(mVars[",C342,"]));")</f>
        <v>cJSON_AddItemToObject(Uha, "VAR_LVDC_VDIFF_V100", cJSON_CreateNumber(mVars[340]));</v>
      </c>
    </row>
    <row r="343" spans="3:16">
      <c r="C343" s="1">
        <v>341</v>
      </c>
      <c r="D343" s="1" t="str">
        <f t="shared" si="49"/>
        <v>0155</v>
      </c>
      <c r="E343" s="34" t="s">
        <v>429</v>
      </c>
      <c r="H343" t="str">
        <f>CONCATENATE("#define  ",E343,"  ",C343)</f>
        <v>#define  VAR_LVDC_VDIFF_MAX  341</v>
      </c>
      <c r="I343" t="str">
        <f>CONCATENATE("public const byte ",E343," = ",C343,";")</f>
        <v>public const byte VAR_LVDC_VDIFF_MAX = 341;</v>
      </c>
      <c r="J343">
        <v>105</v>
      </c>
      <c r="L343" t="str">
        <f t="shared" si="45"/>
        <v>UpdateScanList(VAR_LVDC_VDIFF_MAX, 2000);</v>
      </c>
      <c r="M343" t="str">
        <f>CONCATENATE("VAR_SetVariable(",E343,", Cells[",J343,"].Temp_C", ", validflag);")</f>
        <v>VAR_SetVariable(VAR_LVDC_VDIFF_MAX, Cells[105].Temp_C, validflag);</v>
      </c>
      <c r="N343" t="str">
        <f t="shared" si="50"/>
        <v>COM_AddStreamedVariable(VAR_LVDC_VDIFF_MAX, 1000);</v>
      </c>
      <c r="O343" t="str">
        <f>IF(ISBLANK(E343),"",CONCATENATE("cJSON_AddItemToObject(Uha, ","""",E343,"""",", cJSON_CreateNumber(mVars[",E343,"]));"))</f>
        <v>cJSON_AddItemToObject(Uha, "VAR_LVDC_VDIFF_MAX", cJSON_CreateNumber(mVars[VAR_LVDC_VDIFF_MAX]));</v>
      </c>
      <c r="P343" t="str">
        <f>CONCATENATE("cJSON_AddItemToObject(Uha, ","""",E343,"""",", cJSON_CreateNumber(mVars[",C343,"]));")</f>
        <v>cJSON_AddItemToObject(Uha, "VAR_LVDC_VDIFF_MAX", cJSON_CreateNumber(mVars[341]));</v>
      </c>
    </row>
    <row r="344" spans="3:16">
      <c r="C344" s="1">
        <v>342</v>
      </c>
      <c r="D344" s="1" t="str">
        <f t="shared" si="49"/>
        <v>0156</v>
      </c>
      <c r="E344" s="34" t="s">
        <v>430</v>
      </c>
      <c r="H344" t="str">
        <f>CONCATENATE("#define  ",E344,"  ",C344)</f>
        <v>#define  VAR_LVDC_CURRENT_A  342</v>
      </c>
      <c r="I344" t="str">
        <f>CONCATENATE("public const byte ",E344," = ",C344,";")</f>
        <v>public const byte VAR_LVDC_CURRENT_A = 342;</v>
      </c>
      <c r="J344">
        <v>106</v>
      </c>
      <c r="L344" t="str">
        <f t="shared" si="45"/>
        <v>UpdateScanList(VAR_LVDC_CURRENT_A, 2000);</v>
      </c>
      <c r="M344" t="str">
        <f>CONCATENATE("VAR_SetVariable(",E344,", Cells[",J344,"].Temp_C", ", validflag);")</f>
        <v>VAR_SetVariable(VAR_LVDC_CURRENT_A, Cells[106].Temp_C, validflag);</v>
      </c>
      <c r="N344" t="str">
        <f t="shared" si="50"/>
        <v>COM_AddStreamedVariable(VAR_LVDC_CURRENT_A, 1000);</v>
      </c>
      <c r="O344" t="str">
        <f>IF(ISBLANK(E344),"",CONCATENATE("cJSON_AddItemToObject(Uha, ","""",E344,"""",", cJSON_CreateNumber(mVars[",E344,"]));"))</f>
        <v>cJSON_AddItemToObject(Uha, "VAR_LVDC_CURRENT_A", cJSON_CreateNumber(mVars[VAR_LVDC_CURRENT_A]));</v>
      </c>
      <c r="P344" t="str">
        <f>CONCATENATE("cJSON_AddItemToObject(Uha, ","""",E344,"""",", cJSON_CreateNumber(mVars[",C344,"]));")</f>
        <v>cJSON_AddItemToObject(Uha, "VAR_LVDC_CURRENT_A", cJSON_CreateNumber(mVars[342]));</v>
      </c>
    </row>
    <row r="345" spans="3:16">
      <c r="C345" s="1">
        <v>343</v>
      </c>
      <c r="D345" s="1" t="str">
        <f t="shared" si="49"/>
        <v>0157</v>
      </c>
      <c r="E345" s="34" t="s">
        <v>432</v>
      </c>
      <c r="H345" t="str">
        <f>CONCATENATE("#define  ",E345,"  ",C345)</f>
        <v>#define  VAR_LVDC_LOSS_W  343</v>
      </c>
      <c r="I345" t="str">
        <f>CONCATENATE("public const byte ",E345," = ",C345,";")</f>
        <v>public const byte VAR_LVDC_LOSS_W = 343;</v>
      </c>
      <c r="J345">
        <v>107</v>
      </c>
      <c r="L345" t="str">
        <f t="shared" si="45"/>
        <v>UpdateScanList(VAR_LVDC_LOSS_W, 2000);</v>
      </c>
      <c r="M345" t="str">
        <f>CONCATENATE("VAR_SetVariable(",E345,", Cells[",J345,"].Temp_C", ", validflag);")</f>
        <v>VAR_SetVariable(VAR_LVDC_LOSS_W, Cells[107].Temp_C, validflag);</v>
      </c>
      <c r="N345" t="str">
        <f t="shared" si="50"/>
        <v>COM_AddStreamedVariable(VAR_LVDC_LOSS_W, 1000);</v>
      </c>
      <c r="O345" t="str">
        <f>IF(ISBLANK(E345),"",CONCATENATE("cJSON_AddItemToObject(Uha, ","""",E345,"""",", cJSON_CreateNumber(mVars[",E345,"]));"))</f>
        <v>cJSON_AddItemToObject(Uha, "VAR_LVDC_LOSS_W", cJSON_CreateNumber(mVars[VAR_LVDC_LOSS_W]));</v>
      </c>
      <c r="P345" t="str">
        <f>CONCATENATE("cJSON_AddItemToObject(Uha, ","""",E345,"""",", cJSON_CreateNumber(mVars[",C345,"]));")</f>
        <v>cJSON_AddItemToObject(Uha, "VAR_LVDC_LOSS_W", cJSON_CreateNumber(mVars[343]));</v>
      </c>
    </row>
    <row r="346" spans="3:16">
      <c r="C346" s="1">
        <v>344</v>
      </c>
      <c r="D346" s="1" t="str">
        <f t="shared" si="49"/>
        <v>0158</v>
      </c>
      <c r="E346" s="34" t="s">
        <v>434</v>
      </c>
      <c r="H346" t="str">
        <f>CONCATENATE("#define  ",E346,"  ",C346)</f>
        <v>#define  VAR_LVDC_LOSS_CONS_WH  344</v>
      </c>
      <c r="I346" t="str">
        <f>CONCATENATE("public const byte ",E346," = ",C346,";")</f>
        <v>public const byte VAR_LVDC_LOSS_CONS_WH = 344;</v>
      </c>
      <c r="J346">
        <v>108</v>
      </c>
      <c r="L346" t="str">
        <f t="shared" si="45"/>
        <v>UpdateScanList(VAR_LVDC_LOSS_CONS_WH, 2000);</v>
      </c>
      <c r="M346" t="str">
        <f>CONCATENATE("VAR_SetVariable(",E346,", Cells[",J346,"].Temp_C", ", validflag);")</f>
        <v>VAR_SetVariable(VAR_LVDC_LOSS_CONS_WH, Cells[108].Temp_C, validflag);</v>
      </c>
      <c r="N346" t="str">
        <f t="shared" si="50"/>
        <v>COM_AddStreamedVariable(VAR_LVDC_LOSS_CONS_WH, 1000);</v>
      </c>
      <c r="O346" t="str">
        <f>IF(ISBLANK(E346),"",CONCATENATE("cJSON_AddItemToObject(Uha, ","""",E346,"""",", cJSON_CreateNumber(mVars[",E346,"]));"))</f>
        <v>cJSON_AddItemToObject(Uha, "VAR_LVDC_LOSS_CONS_WH", cJSON_CreateNumber(mVars[VAR_LVDC_LOSS_CONS_WH]));</v>
      </c>
      <c r="P346" t="str">
        <f>CONCATENATE("cJSON_AddItemToObject(Uha, ","""",E346,"""",", cJSON_CreateNumber(mVars[",C346,"]));")</f>
        <v>cJSON_AddItemToObject(Uha, "VAR_LVDC_LOSS_CONS_WH", cJSON_CreateNumber(mVars[344]));</v>
      </c>
    </row>
    <row r="347" spans="3:16">
      <c r="C347" s="1">
        <v>345</v>
      </c>
      <c r="D347" s="1" t="str">
        <f t="shared" si="49"/>
        <v>0159</v>
      </c>
      <c r="N347" t="str">
        <f t="shared" si="50"/>
        <v>COM_AddStreamedVariable(, 1000);</v>
      </c>
    </row>
    <row r="348" spans="3:16">
      <c r="C348" s="1">
        <v>346</v>
      </c>
      <c r="D348" s="1" t="str">
        <f t="shared" si="49"/>
        <v>015A</v>
      </c>
    </row>
    <row r="349" spans="3:16">
      <c r="C349" s="1">
        <v>347</v>
      </c>
      <c r="D349" s="1" t="str">
        <f t="shared" si="49"/>
        <v>015B</v>
      </c>
    </row>
    <row r="350" spans="3:16">
      <c r="C350" s="1">
        <v>348</v>
      </c>
      <c r="D350" s="1" t="str">
        <f t="shared" si="49"/>
        <v>015C</v>
      </c>
    </row>
    <row r="351" spans="3:16">
      <c r="C351" s="1">
        <v>349</v>
      </c>
      <c r="D351" s="1" t="str">
        <f t="shared" si="49"/>
        <v>015D</v>
      </c>
    </row>
    <row r="352" spans="3:16">
      <c r="C352" s="1">
        <v>350</v>
      </c>
      <c r="D352" s="1" t="str">
        <f t="shared" si="49"/>
        <v>015E</v>
      </c>
    </row>
  </sheetData>
  <mergeCells count="2">
    <mergeCell ref="B2:B101"/>
    <mergeCell ref="B102:B162"/>
  </mergeCells>
  <pageMargins left="0.7" right="0.7" top="0.78740157499999996" bottom="0.78740157499999996" header="0.3" footer="0.3"/>
  <pageSetup paperSize="9"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dimension ref="B2:I52"/>
  <sheetViews>
    <sheetView workbookViewId="0">
      <selection activeCell="E58" sqref="E58"/>
    </sheetView>
  </sheetViews>
  <sheetFormatPr defaultRowHeight="15"/>
  <cols>
    <col min="2" max="2" width="11.7109375" customWidth="1"/>
    <col min="5" max="5" width="36" customWidth="1"/>
    <col min="8" max="8" width="46.42578125" customWidth="1"/>
    <col min="9" max="9" width="46.140625" customWidth="1"/>
  </cols>
  <sheetData>
    <row r="2" spans="2:9">
      <c r="F2" t="s">
        <v>16</v>
      </c>
      <c r="G2" t="s">
        <v>17</v>
      </c>
    </row>
    <row r="3" spans="2:9">
      <c r="B3" t="s">
        <v>14</v>
      </c>
      <c r="E3" t="s">
        <v>15</v>
      </c>
      <c r="F3" t="s">
        <v>18</v>
      </c>
      <c r="G3" t="s">
        <v>19</v>
      </c>
    </row>
    <row r="4" spans="2:9">
      <c r="H4" t="s">
        <v>40</v>
      </c>
      <c r="I4" t="s">
        <v>41</v>
      </c>
    </row>
    <row r="6" spans="2:9">
      <c r="D6" t="s">
        <v>20</v>
      </c>
      <c r="E6" t="s">
        <v>34</v>
      </c>
      <c r="H6" t="str">
        <f>CONCATENATE("#define  ",E6,"  ",D6)</f>
        <v>#define  CMD_GET_DEV_ID  0x710</v>
      </c>
      <c r="I6" t="str">
        <f>CONCATENATE("public const short ",E6," = ",D6,";")</f>
        <v>public const short CMD_GET_DEV_ID = 0x710;</v>
      </c>
    </row>
    <row r="7" spans="2:9">
      <c r="D7" t="s">
        <v>22</v>
      </c>
      <c r="E7" t="s">
        <v>33</v>
      </c>
      <c r="H7" t="str">
        <f t="shared" ref="H7:H17" si="0">CONCATENATE("#define  ",E7,"  ",D7)</f>
        <v>#define  CMD_GET_STATUS  0x712</v>
      </c>
      <c r="I7" t="str">
        <f t="shared" ref="I7:I44" si="1">CONCATENATE("public const short ",E7," = ",D7,";")</f>
        <v>public const short CMD_GET_STATUS = 0x712;</v>
      </c>
    </row>
    <row r="8" spans="2:9">
      <c r="D8" t="s">
        <v>23</v>
      </c>
      <c r="E8" t="s">
        <v>21</v>
      </c>
      <c r="H8" t="str">
        <f t="shared" si="0"/>
        <v>#define  CMD_READ_VAR_REQUEST  0x713</v>
      </c>
      <c r="I8" t="str">
        <f t="shared" si="1"/>
        <v>public const short CMD_READ_VAR_REQUEST = 0x713;</v>
      </c>
    </row>
    <row r="9" spans="2:9">
      <c r="D9" t="s">
        <v>24</v>
      </c>
      <c r="E9" t="s">
        <v>35</v>
      </c>
      <c r="H9" t="str">
        <f t="shared" si="0"/>
        <v>#define  CMD_TM_SET_POWER_OUTPUTS  0x721</v>
      </c>
      <c r="I9" t="str">
        <f t="shared" si="1"/>
        <v>public const short CMD_TM_SET_POWER_OUTPUTS = 0x721;</v>
      </c>
    </row>
    <row r="10" spans="2:9">
      <c r="D10" t="s">
        <v>25</v>
      </c>
      <c r="E10" t="s">
        <v>36</v>
      </c>
      <c r="H10" t="str">
        <f t="shared" si="0"/>
        <v>#define  CMD_TM_SET_ELV  0x722</v>
      </c>
      <c r="I10" t="str">
        <f t="shared" si="1"/>
        <v>public const short CMD_TM_SET_ELV = 0x722;</v>
      </c>
    </row>
    <row r="11" spans="2:9">
      <c r="D11" t="s">
        <v>26</v>
      </c>
      <c r="E11" t="s">
        <v>37</v>
      </c>
      <c r="H11" t="str">
        <f t="shared" si="0"/>
        <v>#define  CMD_TM_SET_AV  0x723</v>
      </c>
      <c r="I11" t="str">
        <f t="shared" si="1"/>
        <v>public const short CMD_TM_SET_AV = 0x723;</v>
      </c>
    </row>
    <row r="12" spans="2:9">
      <c r="D12" t="s">
        <v>27</v>
      </c>
      <c r="E12" t="s">
        <v>38</v>
      </c>
      <c r="H12" t="str">
        <f t="shared" si="0"/>
        <v>#define  CMD_TM_SET_SERVOVALVES  0x724</v>
      </c>
      <c r="I12" t="str">
        <f t="shared" si="1"/>
        <v>public const short CMD_TM_SET_SERVOVALVES = 0x724;</v>
      </c>
    </row>
    <row r="13" spans="2:9">
      <c r="D13" t="s">
        <v>28</v>
      </c>
      <c r="E13" t="s">
        <v>39</v>
      </c>
      <c r="H13" t="str">
        <f t="shared" si="0"/>
        <v>#define  CMD_TM_SET_PUMPS  0x725</v>
      </c>
      <c r="I13" t="str">
        <f t="shared" si="1"/>
        <v>public const short CMD_TM_SET_PUMPS = 0x725;</v>
      </c>
    </row>
    <row r="14" spans="2:9">
      <c r="D14" t="s">
        <v>29</v>
      </c>
      <c r="H14" t="str">
        <f t="shared" si="0"/>
        <v>#define    0x726</v>
      </c>
      <c r="I14" t="str">
        <f t="shared" si="1"/>
        <v>public const short  = 0x726;</v>
      </c>
    </row>
    <row r="15" spans="2:9">
      <c r="D15" t="s">
        <v>30</v>
      </c>
      <c r="H15" t="str">
        <f t="shared" si="0"/>
        <v>#define    0x727</v>
      </c>
      <c r="I15" t="str">
        <f t="shared" si="1"/>
        <v>public const short  = 0x727;</v>
      </c>
    </row>
    <row r="16" spans="2:9">
      <c r="D16" t="s">
        <v>31</v>
      </c>
      <c r="H16" t="str">
        <f t="shared" si="0"/>
        <v>#define    0x728</v>
      </c>
      <c r="I16" t="str">
        <f t="shared" si="1"/>
        <v>public const short  = 0x728;</v>
      </c>
    </row>
    <row r="17" spans="2:9">
      <c r="D17" t="s">
        <v>32</v>
      </c>
      <c r="H17" t="str">
        <f t="shared" si="0"/>
        <v>#define    0x729</v>
      </c>
      <c r="I17" t="str">
        <f t="shared" si="1"/>
        <v>public const short  = 0x729;</v>
      </c>
    </row>
    <row r="18" spans="2:9">
      <c r="D18" t="s">
        <v>85</v>
      </c>
      <c r="E18" t="s">
        <v>86</v>
      </c>
      <c r="H18" t="str">
        <f t="shared" ref="H18:H52" si="2">CONCATENATE("#define  ",E18,"  ",D18)</f>
        <v>#define  CMD_MASTER_HB  0x777</v>
      </c>
      <c r="I18" t="str">
        <f t="shared" si="1"/>
        <v>public const short CMD_MASTER_HB = 0x777;</v>
      </c>
    </row>
    <row r="19" spans="2:9">
      <c r="H19" t="str">
        <f t="shared" si="2"/>
        <v xml:space="preserve">#define    </v>
      </c>
      <c r="I19" t="str">
        <f t="shared" si="1"/>
        <v>public const short  = ;</v>
      </c>
    </row>
    <row r="20" spans="2:9">
      <c r="H20" t="str">
        <f t="shared" si="2"/>
        <v xml:space="preserve">#define    </v>
      </c>
      <c r="I20" t="str">
        <f t="shared" si="1"/>
        <v>public const short  = ;</v>
      </c>
    </row>
    <row r="21" spans="2:9">
      <c r="H21" t="str">
        <f t="shared" si="2"/>
        <v xml:space="preserve">#define    </v>
      </c>
      <c r="I21" t="str">
        <f t="shared" si="1"/>
        <v>public const short  = ;</v>
      </c>
    </row>
    <row r="22" spans="2:9">
      <c r="B22" t="s">
        <v>42</v>
      </c>
      <c r="D22" t="s">
        <v>43</v>
      </c>
      <c r="E22" t="s">
        <v>48</v>
      </c>
      <c r="H22" t="str">
        <f t="shared" si="2"/>
        <v>#define  CMD_TM_DEV_ID  0x210</v>
      </c>
      <c r="I22" t="str">
        <f t="shared" si="1"/>
        <v>public const short CMD_TM_DEV_ID = 0x210;</v>
      </c>
    </row>
    <row r="23" spans="2:9">
      <c r="D23" t="s">
        <v>47</v>
      </c>
      <c r="E23" t="s">
        <v>45</v>
      </c>
      <c r="H23" t="str">
        <f t="shared" si="2"/>
        <v>#define  CMD_TM_STATUS  0x212</v>
      </c>
      <c r="I23" t="str">
        <f t="shared" si="1"/>
        <v>public const short CMD_TM_STATUS = 0x212;</v>
      </c>
    </row>
    <row r="24" spans="2:9">
      <c r="D24" t="s">
        <v>44</v>
      </c>
      <c r="E24" t="s">
        <v>46</v>
      </c>
      <c r="H24" t="str">
        <f t="shared" si="2"/>
        <v>#define  CMD_TM_VAR_VALUE  0x221</v>
      </c>
      <c r="I24" t="str">
        <f t="shared" si="1"/>
        <v>public const short CMD_TM_VAR_VALUE = 0x221;</v>
      </c>
    </row>
    <row r="25" spans="2:9">
      <c r="H25" t="str">
        <f t="shared" si="2"/>
        <v xml:space="preserve">#define    </v>
      </c>
      <c r="I25" t="str">
        <f t="shared" si="1"/>
        <v>public const short  = ;</v>
      </c>
    </row>
    <row r="26" spans="2:9">
      <c r="H26" t="str">
        <f t="shared" si="2"/>
        <v xml:space="preserve">#define    </v>
      </c>
      <c r="I26" t="str">
        <f t="shared" si="1"/>
        <v>public const short  = ;</v>
      </c>
    </row>
    <row r="27" spans="2:9">
      <c r="H27" t="str">
        <f t="shared" si="2"/>
        <v xml:space="preserve">#define    </v>
      </c>
      <c r="I27" t="str">
        <f t="shared" si="1"/>
        <v>public const short  = ;</v>
      </c>
    </row>
    <row r="28" spans="2:9">
      <c r="H28" t="str">
        <f t="shared" si="2"/>
        <v xml:space="preserve">#define    </v>
      </c>
      <c r="I28" t="str">
        <f t="shared" si="1"/>
        <v>public const short  = ;</v>
      </c>
    </row>
    <row r="29" spans="2:9">
      <c r="H29" t="str">
        <f t="shared" si="2"/>
        <v xml:space="preserve">#define    </v>
      </c>
      <c r="I29" t="str">
        <f t="shared" si="1"/>
        <v>public const short  = ;</v>
      </c>
    </row>
    <row r="30" spans="2:9">
      <c r="H30" t="str">
        <f t="shared" si="2"/>
        <v xml:space="preserve">#define    </v>
      </c>
      <c r="I30" t="str">
        <f t="shared" si="1"/>
        <v>public const short  = ;</v>
      </c>
    </row>
    <row r="31" spans="2:9">
      <c r="H31" t="str">
        <f t="shared" si="2"/>
        <v xml:space="preserve">#define    </v>
      </c>
      <c r="I31" t="str">
        <f t="shared" si="1"/>
        <v>public const short  = ;</v>
      </c>
    </row>
    <row r="32" spans="2:9">
      <c r="B32" t="s">
        <v>159</v>
      </c>
      <c r="D32" t="s">
        <v>88</v>
      </c>
      <c r="E32" t="s">
        <v>87</v>
      </c>
      <c r="H32" t="str">
        <f t="shared" si="2"/>
        <v>#define  CMD_IOD_BUTTON_STATE  0x101</v>
      </c>
      <c r="I32" t="str">
        <f t="shared" si="1"/>
        <v>public const short CMD_IOD_BUTTON_STATE = 0x101;</v>
      </c>
    </row>
    <row r="33" spans="2:9">
      <c r="D33" t="s">
        <v>89</v>
      </c>
      <c r="E33" t="s">
        <v>90</v>
      </c>
      <c r="H33" t="str">
        <f t="shared" si="2"/>
        <v>#define  CMD_IOU_BUTTON_STATE  0x102</v>
      </c>
      <c r="I33" t="str">
        <f t="shared" si="1"/>
        <v>public const short CMD_IOU_BUTTON_STATE = 0x102;</v>
      </c>
    </row>
    <row r="34" spans="2:9">
      <c r="D34" t="s">
        <v>142</v>
      </c>
      <c r="E34" t="s">
        <v>288</v>
      </c>
      <c r="H34" t="str">
        <f t="shared" si="2"/>
        <v>#define  CMD_GESTURE  0x120</v>
      </c>
      <c r="I34" t="str">
        <f t="shared" si="1"/>
        <v>public const short CMD_GESTURE = 0x120;</v>
      </c>
    </row>
    <row r="35" spans="2:9">
      <c r="H35" t="str">
        <f t="shared" si="2"/>
        <v xml:space="preserve">#define    </v>
      </c>
      <c r="I35" t="str">
        <f t="shared" si="1"/>
        <v>public const short  = ;</v>
      </c>
    </row>
    <row r="36" spans="2:9">
      <c r="H36" t="str">
        <f t="shared" si="2"/>
        <v xml:space="preserve">#define    </v>
      </c>
      <c r="I36" t="str">
        <f t="shared" si="1"/>
        <v>public const short  = ;</v>
      </c>
    </row>
    <row r="37" spans="2:9">
      <c r="H37" t="str">
        <f>CONCATENATE("#define  ",E42,"  ",D42)</f>
        <v>#define  CMD_VAR_VALUE  0x110</v>
      </c>
      <c r="I37" t="str">
        <f>CONCATENATE("public const short ",E42," = ",D42,";")</f>
        <v>public const short CMD_VAR_VALUE = 0x110;</v>
      </c>
    </row>
    <row r="38" spans="2:9">
      <c r="H38" t="str">
        <f t="shared" si="2"/>
        <v xml:space="preserve">#define    </v>
      </c>
      <c r="I38" t="str">
        <f t="shared" si="1"/>
        <v>public const short  = ;</v>
      </c>
    </row>
    <row r="39" spans="2:9">
      <c r="H39" t="str">
        <f t="shared" si="2"/>
        <v xml:space="preserve">#define    </v>
      </c>
      <c r="I39" t="str">
        <f t="shared" si="1"/>
        <v>public const short  = ;</v>
      </c>
    </row>
    <row r="40" spans="2:9">
      <c r="H40" t="str">
        <f t="shared" si="2"/>
        <v xml:space="preserve">#define    </v>
      </c>
      <c r="I40" t="str">
        <f t="shared" si="1"/>
        <v>public const short  = ;</v>
      </c>
    </row>
    <row r="41" spans="2:9">
      <c r="H41" t="str">
        <f t="shared" si="2"/>
        <v xml:space="preserve">#define    </v>
      </c>
      <c r="I41" t="str">
        <f t="shared" si="1"/>
        <v>public const short  = ;</v>
      </c>
    </row>
    <row r="42" spans="2:9">
      <c r="B42" t="s">
        <v>285</v>
      </c>
      <c r="D42" t="s">
        <v>283</v>
      </c>
      <c r="E42" t="s">
        <v>284</v>
      </c>
      <c r="H42" t="str">
        <f t="shared" si="2"/>
        <v>#define  CMD_VAR_VALUE  0x110</v>
      </c>
      <c r="I42" t="str">
        <f t="shared" si="1"/>
        <v>public const short CMD_VAR_VALUE = 0x110;</v>
      </c>
    </row>
    <row r="43" spans="2:9">
      <c r="H43" t="str">
        <f t="shared" si="2"/>
        <v xml:space="preserve">#define    </v>
      </c>
      <c r="I43" t="str">
        <f t="shared" si="1"/>
        <v>public const short  = ;</v>
      </c>
    </row>
    <row r="44" spans="2:9">
      <c r="D44" t="s">
        <v>286</v>
      </c>
      <c r="E44" t="s">
        <v>287</v>
      </c>
      <c r="H44" t="str">
        <f t="shared" si="2"/>
        <v>#define  CMD_RTC_SYNC  0x510</v>
      </c>
      <c r="I44" t="str">
        <f t="shared" si="1"/>
        <v>public const short CMD_RTC_SYNC = 0x510;</v>
      </c>
    </row>
    <row r="45" spans="2:9">
      <c r="H45" t="str">
        <f t="shared" si="2"/>
        <v xml:space="preserve">#define    </v>
      </c>
    </row>
    <row r="46" spans="2:9">
      <c r="H46" t="str">
        <f t="shared" si="2"/>
        <v xml:space="preserve">#define    </v>
      </c>
    </row>
    <row r="47" spans="2:9">
      <c r="H47" t="str">
        <f t="shared" si="2"/>
        <v xml:space="preserve">#define    </v>
      </c>
    </row>
    <row r="48" spans="2:9">
      <c r="B48" t="s">
        <v>116</v>
      </c>
      <c r="D48" t="s">
        <v>289</v>
      </c>
      <c r="E48" t="s">
        <v>290</v>
      </c>
      <c r="H48" t="str">
        <f t="shared" si="2"/>
        <v>#define  CMD_BALANCE_INFO  0x310</v>
      </c>
    </row>
    <row r="49" spans="4:8">
      <c r="H49" t="str">
        <f t="shared" si="2"/>
        <v xml:space="preserve">#define    </v>
      </c>
    </row>
    <row r="50" spans="4:8">
      <c r="H50" t="str">
        <f t="shared" si="2"/>
        <v xml:space="preserve">#define    </v>
      </c>
    </row>
    <row r="51" spans="4:8">
      <c r="D51" t="s">
        <v>477</v>
      </c>
      <c r="E51" t="s">
        <v>478</v>
      </c>
      <c r="H51" t="str">
        <f t="shared" si="2"/>
        <v>#define  CMD_LOG_MSG  0x620</v>
      </c>
    </row>
    <row r="52" spans="4:8">
      <c r="H52" t="str">
        <f t="shared" si="2"/>
        <v xml:space="preserve">#define    </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dimension ref="A1:F11"/>
  <sheetViews>
    <sheetView workbookViewId="0">
      <selection activeCell="F4" sqref="F4"/>
    </sheetView>
  </sheetViews>
  <sheetFormatPr defaultRowHeight="15"/>
  <cols>
    <col min="4" max="4" width="21.42578125" customWidth="1"/>
  </cols>
  <sheetData>
    <row r="1" spans="1:6">
      <c r="A1" t="s">
        <v>42</v>
      </c>
    </row>
    <row r="3" spans="1:6">
      <c r="C3" t="s">
        <v>47</v>
      </c>
      <c r="D3" t="s">
        <v>45</v>
      </c>
      <c r="E3" t="s">
        <v>66</v>
      </c>
      <c r="F3" t="s">
        <v>47</v>
      </c>
    </row>
    <row r="4" spans="1:6">
      <c r="E4" t="s">
        <v>67</v>
      </c>
    </row>
    <row r="5" spans="1:6">
      <c r="E5" t="s">
        <v>68</v>
      </c>
    </row>
    <row r="6" spans="1:6">
      <c r="E6" t="s">
        <v>69</v>
      </c>
    </row>
    <row r="7" spans="1:6">
      <c r="E7" t="s">
        <v>70</v>
      </c>
    </row>
    <row r="8" spans="1:6">
      <c r="E8" t="s">
        <v>71</v>
      </c>
    </row>
    <row r="9" spans="1:6">
      <c r="E9" t="s">
        <v>72</v>
      </c>
    </row>
    <row r="10" spans="1:6">
      <c r="E10" t="s">
        <v>73</v>
      </c>
    </row>
    <row r="11" spans="1:6">
      <c r="E11" t="s">
        <v>74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dimension ref="A2:N53"/>
  <sheetViews>
    <sheetView zoomScale="85" zoomScaleNormal="85" workbookViewId="0">
      <selection activeCell="E11" sqref="E11"/>
    </sheetView>
  </sheetViews>
  <sheetFormatPr defaultRowHeight="15"/>
  <cols>
    <col min="3" max="3" width="16.140625" customWidth="1"/>
    <col min="5" max="5" width="27.28515625" customWidth="1"/>
    <col min="10" max="10" width="14.5703125" customWidth="1"/>
    <col min="11" max="11" width="12.7109375" customWidth="1"/>
    <col min="13" max="13" width="22.5703125" customWidth="1"/>
    <col min="14" max="14" width="21.5703125" customWidth="1"/>
  </cols>
  <sheetData>
    <row r="2" spans="1:14" ht="15.75" thickBot="1">
      <c r="A2" s="8"/>
      <c r="B2" s="8"/>
      <c r="C2" s="8"/>
      <c r="D2" s="8"/>
      <c r="E2" s="8"/>
    </row>
    <row r="3" spans="1:14">
      <c r="A3" s="12"/>
      <c r="B3" s="9" t="s">
        <v>91</v>
      </c>
      <c r="C3" s="10" t="s">
        <v>92</v>
      </c>
      <c r="D3" s="10" t="s">
        <v>93</v>
      </c>
      <c r="E3" s="11" t="s">
        <v>96</v>
      </c>
      <c r="F3" s="14" t="s">
        <v>274</v>
      </c>
      <c r="J3" s="9" t="s">
        <v>113</v>
      </c>
      <c r="K3" s="10" t="s">
        <v>92</v>
      </c>
      <c r="L3" s="10" t="s">
        <v>114</v>
      </c>
      <c r="M3" s="11" t="s">
        <v>115</v>
      </c>
      <c r="N3" s="14" t="s">
        <v>129</v>
      </c>
    </row>
    <row r="4" spans="1:14">
      <c r="A4" s="8"/>
      <c r="B4" s="3">
        <v>0</v>
      </c>
      <c r="C4" s="46" t="s">
        <v>94</v>
      </c>
      <c r="D4" s="2">
        <v>1</v>
      </c>
      <c r="E4" s="4" t="s">
        <v>255</v>
      </c>
      <c r="F4">
        <v>0</v>
      </c>
      <c r="J4" s="3">
        <v>0</v>
      </c>
      <c r="K4" s="46" t="s">
        <v>94</v>
      </c>
      <c r="L4" s="2">
        <v>1</v>
      </c>
      <c r="M4" s="13" t="s">
        <v>122</v>
      </c>
    </row>
    <row r="5" spans="1:14">
      <c r="A5" s="8"/>
      <c r="B5" s="3">
        <v>1</v>
      </c>
      <c r="C5" s="46"/>
      <c r="D5" s="2">
        <v>2</v>
      </c>
      <c r="E5" s="4" t="s">
        <v>256</v>
      </c>
      <c r="F5">
        <v>1</v>
      </c>
      <c r="J5" s="3">
        <v>1</v>
      </c>
      <c r="K5" s="46"/>
      <c r="L5" s="2">
        <v>2</v>
      </c>
      <c r="M5" s="13" t="s">
        <v>121</v>
      </c>
    </row>
    <row r="6" spans="1:14">
      <c r="A6" s="8"/>
      <c r="B6" s="3">
        <v>2</v>
      </c>
      <c r="C6" s="46"/>
      <c r="D6" s="2">
        <v>3</v>
      </c>
      <c r="E6" s="4" t="s">
        <v>108</v>
      </c>
      <c r="F6">
        <v>2</v>
      </c>
      <c r="J6" s="3">
        <v>2</v>
      </c>
      <c r="K6" s="46"/>
      <c r="L6" s="2">
        <v>3</v>
      </c>
      <c r="M6" s="4"/>
    </row>
    <row r="7" spans="1:14">
      <c r="A7" s="8"/>
      <c r="B7" s="3">
        <v>3</v>
      </c>
      <c r="C7" s="46"/>
      <c r="D7" s="2">
        <v>4</v>
      </c>
      <c r="E7" s="4" t="s">
        <v>107</v>
      </c>
      <c r="F7">
        <v>3</v>
      </c>
      <c r="J7" s="3">
        <v>3</v>
      </c>
      <c r="K7" s="46"/>
      <c r="L7" s="2">
        <v>4</v>
      </c>
      <c r="M7" s="4"/>
    </row>
    <row r="8" spans="1:14">
      <c r="A8" s="8"/>
      <c r="B8" s="3">
        <v>4</v>
      </c>
      <c r="C8" s="46"/>
      <c r="D8" s="2">
        <v>5</v>
      </c>
      <c r="E8" s="4" t="s">
        <v>106</v>
      </c>
      <c r="F8">
        <v>4</v>
      </c>
      <c r="J8" s="3">
        <v>4</v>
      </c>
      <c r="K8" s="46"/>
      <c r="L8" s="2">
        <v>5</v>
      </c>
      <c r="M8" s="4" t="s">
        <v>119</v>
      </c>
      <c r="N8">
        <v>15</v>
      </c>
    </row>
    <row r="9" spans="1:14">
      <c r="A9" s="8"/>
      <c r="B9" s="3">
        <v>5</v>
      </c>
      <c r="C9" s="46"/>
      <c r="D9" s="2">
        <v>6</v>
      </c>
      <c r="E9" s="4" t="s">
        <v>105</v>
      </c>
      <c r="F9">
        <v>5</v>
      </c>
      <c r="J9" s="3">
        <v>5</v>
      </c>
      <c r="K9" s="46"/>
      <c r="L9" s="2">
        <v>6</v>
      </c>
      <c r="M9" s="4" t="s">
        <v>120</v>
      </c>
      <c r="N9">
        <v>9</v>
      </c>
    </row>
    <row r="10" spans="1:14">
      <c r="A10" s="8"/>
      <c r="B10" s="3">
        <v>6</v>
      </c>
      <c r="C10" s="46"/>
      <c r="D10" s="2">
        <v>7</v>
      </c>
      <c r="E10" s="4" t="s">
        <v>104</v>
      </c>
      <c r="F10">
        <v>6</v>
      </c>
      <c r="J10" s="3">
        <v>6</v>
      </c>
      <c r="K10" s="46"/>
      <c r="L10" s="2">
        <v>7</v>
      </c>
      <c r="M10" s="4"/>
    </row>
    <row r="11" spans="1:14">
      <c r="A11" s="8"/>
      <c r="B11" s="3">
        <v>7</v>
      </c>
      <c r="C11" s="46"/>
      <c r="D11" s="2">
        <v>8</v>
      </c>
      <c r="E11" s="4" t="s">
        <v>103</v>
      </c>
      <c r="F11">
        <v>7</v>
      </c>
      <c r="J11" s="3">
        <v>7</v>
      </c>
      <c r="K11" s="46"/>
      <c r="L11" s="2">
        <v>8</v>
      </c>
      <c r="M11" s="4"/>
    </row>
    <row r="12" spans="1:14">
      <c r="A12" s="8"/>
      <c r="B12" s="3">
        <v>8</v>
      </c>
      <c r="C12" s="46"/>
      <c r="D12" s="2">
        <v>9</v>
      </c>
      <c r="E12" s="4" t="s">
        <v>100</v>
      </c>
      <c r="F12">
        <v>8</v>
      </c>
      <c r="J12" s="3">
        <v>8</v>
      </c>
      <c r="K12" s="46"/>
      <c r="L12" s="2">
        <v>9</v>
      </c>
      <c r="M12" s="4"/>
    </row>
    <row r="13" spans="1:14">
      <c r="A13" s="8"/>
      <c r="B13" s="3">
        <v>9</v>
      </c>
      <c r="C13" s="46"/>
      <c r="D13" s="2">
        <v>10</v>
      </c>
      <c r="E13" s="4" t="s">
        <v>133</v>
      </c>
      <c r="F13">
        <v>9</v>
      </c>
      <c r="J13" s="3">
        <v>9</v>
      </c>
      <c r="K13" s="46"/>
      <c r="L13" s="2">
        <v>10</v>
      </c>
      <c r="M13" s="4"/>
    </row>
    <row r="14" spans="1:14">
      <c r="A14" s="8"/>
      <c r="B14" s="3">
        <v>10</v>
      </c>
      <c r="C14" s="46"/>
      <c r="D14" s="2">
        <v>11</v>
      </c>
      <c r="E14" s="4" t="s">
        <v>134</v>
      </c>
      <c r="F14">
        <v>10</v>
      </c>
      <c r="J14" s="3">
        <v>10</v>
      </c>
      <c r="K14" s="46"/>
      <c r="L14" s="2">
        <v>11</v>
      </c>
      <c r="M14" s="22"/>
    </row>
    <row r="15" spans="1:14">
      <c r="A15" s="8"/>
      <c r="B15" s="3">
        <v>11</v>
      </c>
      <c r="C15" s="46"/>
      <c r="D15" s="2">
        <v>12</v>
      </c>
      <c r="E15" s="4" t="s">
        <v>134</v>
      </c>
      <c r="F15">
        <v>11</v>
      </c>
      <c r="J15" s="3">
        <v>11</v>
      </c>
      <c r="K15" s="46"/>
      <c r="L15" s="2">
        <v>12</v>
      </c>
      <c r="M15" s="22"/>
    </row>
    <row r="16" spans="1:14">
      <c r="A16" s="8"/>
      <c r="B16" s="3">
        <v>12</v>
      </c>
      <c r="C16" s="46"/>
      <c r="D16" s="2">
        <v>13</v>
      </c>
      <c r="E16" s="4" t="s">
        <v>136</v>
      </c>
      <c r="F16">
        <v>12</v>
      </c>
      <c r="J16" s="3">
        <v>12</v>
      </c>
      <c r="K16" s="46" t="s">
        <v>95</v>
      </c>
      <c r="L16" s="2">
        <v>1</v>
      </c>
      <c r="M16" s="4" t="s">
        <v>117</v>
      </c>
      <c r="N16">
        <v>38</v>
      </c>
    </row>
    <row r="17" spans="1:14">
      <c r="A17" s="8"/>
      <c r="B17" s="3">
        <v>13</v>
      </c>
      <c r="C17" s="46"/>
      <c r="D17" s="2">
        <v>14</v>
      </c>
      <c r="E17" s="4" t="s">
        <v>135</v>
      </c>
      <c r="F17">
        <v>13</v>
      </c>
      <c r="J17" s="3">
        <v>13</v>
      </c>
      <c r="K17" s="46"/>
      <c r="L17" s="2">
        <v>2</v>
      </c>
      <c r="M17" s="4" t="s">
        <v>118</v>
      </c>
      <c r="N17">
        <v>36</v>
      </c>
    </row>
    <row r="18" spans="1:14">
      <c r="A18" s="8"/>
      <c r="B18" s="3">
        <v>14</v>
      </c>
      <c r="C18" s="46"/>
      <c r="D18" s="2">
        <v>15</v>
      </c>
      <c r="E18" s="4" t="s">
        <v>102</v>
      </c>
      <c r="F18">
        <v>14</v>
      </c>
      <c r="J18" s="3">
        <v>14</v>
      </c>
      <c r="K18" s="46"/>
      <c r="L18" s="2">
        <v>3</v>
      </c>
      <c r="M18" s="4" t="s">
        <v>118</v>
      </c>
      <c r="N18">
        <v>37</v>
      </c>
    </row>
    <row r="19" spans="1:14">
      <c r="A19" s="8"/>
      <c r="B19" s="3">
        <v>15</v>
      </c>
      <c r="C19" s="46"/>
      <c r="D19" s="2">
        <v>16</v>
      </c>
      <c r="E19" s="4" t="s">
        <v>101</v>
      </c>
      <c r="F19">
        <v>15</v>
      </c>
      <c r="J19" s="3">
        <v>15</v>
      </c>
      <c r="K19" s="46"/>
      <c r="L19" s="2">
        <v>4</v>
      </c>
      <c r="M19" s="4" t="s">
        <v>128</v>
      </c>
      <c r="N19">
        <v>5.18</v>
      </c>
    </row>
    <row r="20" spans="1:14">
      <c r="A20" s="8"/>
      <c r="B20" s="3">
        <v>16</v>
      </c>
      <c r="C20" s="46"/>
      <c r="D20" s="2">
        <v>17</v>
      </c>
      <c r="E20" s="4" t="s">
        <v>100</v>
      </c>
      <c r="F20">
        <v>16</v>
      </c>
      <c r="J20" s="3">
        <v>16</v>
      </c>
      <c r="K20" s="46"/>
      <c r="L20" s="2">
        <v>5</v>
      </c>
      <c r="M20" s="4" t="s">
        <v>127</v>
      </c>
      <c r="N20">
        <v>4.1900000000000004</v>
      </c>
    </row>
    <row r="21" spans="1:14">
      <c r="A21" s="8"/>
      <c r="B21" s="3">
        <v>17</v>
      </c>
      <c r="C21" s="46"/>
      <c r="D21" s="2">
        <v>18</v>
      </c>
      <c r="E21" s="4" t="s">
        <v>99</v>
      </c>
      <c r="F21">
        <v>17</v>
      </c>
      <c r="J21" s="3">
        <v>17</v>
      </c>
      <c r="K21" s="46"/>
      <c r="L21" s="2">
        <v>6</v>
      </c>
      <c r="M21" s="4" t="s">
        <v>131</v>
      </c>
      <c r="N21">
        <v>14</v>
      </c>
    </row>
    <row r="22" spans="1:14">
      <c r="A22" s="8"/>
      <c r="B22" s="3">
        <v>18</v>
      </c>
      <c r="C22" s="46"/>
      <c r="D22" s="2">
        <v>19</v>
      </c>
      <c r="E22" s="4" t="s">
        <v>98</v>
      </c>
      <c r="F22">
        <v>18</v>
      </c>
      <c r="J22" s="3">
        <v>18</v>
      </c>
      <c r="K22" s="46"/>
      <c r="L22" s="2">
        <v>7</v>
      </c>
      <c r="M22" s="4" t="s">
        <v>130</v>
      </c>
      <c r="N22">
        <v>1.39</v>
      </c>
    </row>
    <row r="23" spans="1:14">
      <c r="A23" s="8"/>
      <c r="B23" s="3">
        <v>19</v>
      </c>
      <c r="C23" s="46"/>
      <c r="D23" s="2">
        <v>20</v>
      </c>
      <c r="E23" s="4" t="s">
        <v>97</v>
      </c>
      <c r="F23">
        <v>19</v>
      </c>
      <c r="J23" s="3">
        <v>19</v>
      </c>
      <c r="K23" s="46"/>
      <c r="L23" s="2">
        <v>8</v>
      </c>
      <c r="M23" s="4" t="s">
        <v>126</v>
      </c>
      <c r="N23">
        <v>0.39</v>
      </c>
    </row>
    <row r="24" spans="1:14">
      <c r="A24" s="8"/>
      <c r="B24" s="3">
        <v>20</v>
      </c>
      <c r="C24" s="46" t="s">
        <v>95</v>
      </c>
      <c r="D24" s="2">
        <v>1</v>
      </c>
      <c r="E24" s="4"/>
      <c r="F24">
        <v>20</v>
      </c>
      <c r="J24" s="3">
        <v>20</v>
      </c>
      <c r="K24" s="46"/>
      <c r="L24" s="2">
        <v>9</v>
      </c>
      <c r="M24" s="4" t="s">
        <v>132</v>
      </c>
      <c r="N24">
        <v>17.7</v>
      </c>
    </row>
    <row r="25" spans="1:14">
      <c r="A25" s="8"/>
      <c r="B25" s="3">
        <v>21</v>
      </c>
      <c r="C25" s="46"/>
      <c r="D25" s="2">
        <v>2</v>
      </c>
      <c r="E25" s="4"/>
      <c r="F25">
        <v>21</v>
      </c>
      <c r="J25" s="3">
        <v>21</v>
      </c>
      <c r="K25" s="46"/>
      <c r="L25" s="2">
        <v>10</v>
      </c>
      <c r="M25" s="4" t="s">
        <v>125</v>
      </c>
      <c r="N25" t="s">
        <v>257</v>
      </c>
    </row>
    <row r="26" spans="1:14">
      <c r="A26" s="8"/>
      <c r="B26" s="3">
        <v>22</v>
      </c>
      <c r="C26" s="46"/>
      <c r="D26" s="2">
        <v>3</v>
      </c>
      <c r="E26" s="4"/>
      <c r="F26">
        <v>22</v>
      </c>
      <c r="J26" s="3">
        <v>22</v>
      </c>
      <c r="K26" s="46"/>
      <c r="L26" s="2">
        <v>11</v>
      </c>
      <c r="M26" s="4" t="s">
        <v>124</v>
      </c>
      <c r="N26">
        <v>13.3</v>
      </c>
    </row>
    <row r="27" spans="1:14">
      <c r="A27" s="8"/>
      <c r="B27" s="3">
        <v>23</v>
      </c>
      <c r="C27" s="46"/>
      <c r="D27" s="2">
        <v>4</v>
      </c>
      <c r="E27" s="4"/>
      <c r="F27">
        <v>23</v>
      </c>
      <c r="J27" s="3">
        <v>23</v>
      </c>
      <c r="K27" s="46"/>
      <c r="L27" s="2">
        <v>12</v>
      </c>
      <c r="M27" s="4" t="s">
        <v>123</v>
      </c>
      <c r="N27">
        <v>12</v>
      </c>
    </row>
    <row r="28" spans="1:14">
      <c r="A28" s="8"/>
      <c r="B28" s="3">
        <v>24</v>
      </c>
      <c r="C28" s="46"/>
      <c r="D28" s="2">
        <v>5</v>
      </c>
      <c r="E28" s="4"/>
      <c r="F28">
        <v>24</v>
      </c>
      <c r="J28" s="3">
        <v>24</v>
      </c>
      <c r="K28" s="46" t="s">
        <v>116</v>
      </c>
      <c r="L28" s="2">
        <v>1</v>
      </c>
      <c r="M28" s="4"/>
    </row>
    <row r="29" spans="1:14">
      <c r="A29" s="8"/>
      <c r="B29" s="3">
        <v>25</v>
      </c>
      <c r="C29" s="46"/>
      <c r="D29" s="2">
        <v>6</v>
      </c>
      <c r="E29" s="4"/>
      <c r="F29">
        <v>25</v>
      </c>
      <c r="J29" s="3">
        <v>25</v>
      </c>
      <c r="K29" s="46"/>
      <c r="L29" s="2">
        <v>2</v>
      </c>
      <c r="M29" s="4"/>
    </row>
    <row r="30" spans="1:14">
      <c r="A30" s="8"/>
      <c r="B30" s="3">
        <v>26</v>
      </c>
      <c r="C30" s="46"/>
      <c r="D30" s="2">
        <v>7</v>
      </c>
      <c r="E30" s="4"/>
      <c r="F30">
        <v>26</v>
      </c>
      <c r="J30" s="3">
        <v>26</v>
      </c>
      <c r="K30" s="46"/>
      <c r="L30" s="2">
        <v>3</v>
      </c>
      <c r="M30" s="4"/>
    </row>
    <row r="31" spans="1:14">
      <c r="A31" s="8"/>
      <c r="B31" s="3">
        <v>27</v>
      </c>
      <c r="C31" s="46"/>
      <c r="D31" s="2">
        <v>8</v>
      </c>
      <c r="E31" s="4"/>
      <c r="F31">
        <v>27</v>
      </c>
      <c r="J31" s="18">
        <v>27</v>
      </c>
      <c r="K31" s="47"/>
      <c r="L31" s="19">
        <v>4</v>
      </c>
      <c r="M31" s="20"/>
    </row>
    <row r="32" spans="1:14">
      <c r="A32" s="8"/>
      <c r="B32" s="3">
        <v>28</v>
      </c>
      <c r="C32" s="46"/>
      <c r="D32" s="2">
        <v>9</v>
      </c>
      <c r="E32" s="4"/>
      <c r="F32">
        <v>28</v>
      </c>
      <c r="J32" s="3">
        <v>28</v>
      </c>
      <c r="K32" s="43" t="s">
        <v>339</v>
      </c>
      <c r="L32" s="21">
        <v>1</v>
      </c>
      <c r="M32" s="4" t="s">
        <v>366</v>
      </c>
    </row>
    <row r="33" spans="1:13">
      <c r="A33" s="8"/>
      <c r="B33" s="3">
        <v>29</v>
      </c>
      <c r="C33" s="46"/>
      <c r="D33" s="2">
        <v>10</v>
      </c>
      <c r="E33" s="4"/>
      <c r="F33">
        <v>29</v>
      </c>
      <c r="J33" s="3">
        <v>29</v>
      </c>
      <c r="K33" s="43"/>
      <c r="L33" s="21">
        <v>2</v>
      </c>
      <c r="M33" s="4" t="s">
        <v>364</v>
      </c>
    </row>
    <row r="34" spans="1:13">
      <c r="A34" s="8"/>
      <c r="B34" s="3">
        <v>30</v>
      </c>
      <c r="C34" s="46"/>
      <c r="D34" s="2">
        <v>11</v>
      </c>
      <c r="E34" s="4"/>
      <c r="F34">
        <v>30</v>
      </c>
      <c r="J34" s="3">
        <v>30</v>
      </c>
      <c r="K34" s="43"/>
      <c r="L34" s="21">
        <v>3</v>
      </c>
      <c r="M34" s="4" t="s">
        <v>367</v>
      </c>
    </row>
    <row r="35" spans="1:13">
      <c r="A35" s="8"/>
      <c r="B35" s="3">
        <v>31</v>
      </c>
      <c r="C35" s="46"/>
      <c r="D35" s="2">
        <v>12</v>
      </c>
      <c r="E35" s="4"/>
      <c r="F35">
        <v>31</v>
      </c>
      <c r="J35" s="3">
        <v>31</v>
      </c>
      <c r="K35" s="43"/>
      <c r="L35" s="21">
        <v>4</v>
      </c>
      <c r="M35" s="4" t="s">
        <v>368</v>
      </c>
    </row>
    <row r="36" spans="1:13">
      <c r="A36" s="8"/>
      <c r="B36" s="3">
        <v>32</v>
      </c>
      <c r="C36" s="46"/>
      <c r="D36" s="2">
        <v>13</v>
      </c>
      <c r="E36" s="4"/>
      <c r="F36">
        <v>32</v>
      </c>
      <c r="J36" s="3">
        <v>32</v>
      </c>
      <c r="K36" s="44" t="s">
        <v>361</v>
      </c>
      <c r="L36" s="21">
        <v>1</v>
      </c>
      <c r="M36" s="4" t="s">
        <v>362</v>
      </c>
    </row>
    <row r="37" spans="1:13">
      <c r="A37" s="8"/>
      <c r="B37" s="3">
        <v>33</v>
      </c>
      <c r="C37" s="46"/>
      <c r="D37" s="2">
        <v>14</v>
      </c>
      <c r="E37" s="4"/>
      <c r="F37">
        <v>33</v>
      </c>
      <c r="J37" s="3">
        <v>33</v>
      </c>
      <c r="K37" s="44"/>
      <c r="L37" s="21">
        <v>2</v>
      </c>
      <c r="M37" s="4" t="s">
        <v>363</v>
      </c>
    </row>
    <row r="38" spans="1:13">
      <c r="A38" s="8"/>
      <c r="B38" s="3">
        <v>34</v>
      </c>
      <c r="C38" s="46"/>
      <c r="D38" s="2">
        <v>15</v>
      </c>
      <c r="E38" s="4"/>
      <c r="F38">
        <v>34</v>
      </c>
      <c r="J38" s="3">
        <v>34</v>
      </c>
      <c r="K38" s="44"/>
      <c r="L38" s="21">
        <v>3</v>
      </c>
      <c r="M38" s="4" t="s">
        <v>365</v>
      </c>
    </row>
    <row r="39" spans="1:13" ht="15.75" thickBot="1">
      <c r="A39" s="8"/>
      <c r="B39" s="3">
        <v>35</v>
      </c>
      <c r="C39" s="46"/>
      <c r="D39" s="2">
        <v>16</v>
      </c>
      <c r="E39" s="4"/>
      <c r="F39">
        <v>35</v>
      </c>
      <c r="J39" s="5">
        <v>35</v>
      </c>
      <c r="K39" s="45"/>
      <c r="L39" s="23">
        <v>4</v>
      </c>
      <c r="M39" s="7"/>
    </row>
    <row r="40" spans="1:13">
      <c r="A40" s="8"/>
      <c r="B40" s="3">
        <v>36</v>
      </c>
      <c r="C40" s="46"/>
      <c r="D40" s="2">
        <v>17</v>
      </c>
      <c r="E40" s="4" t="s">
        <v>112</v>
      </c>
      <c r="F40">
        <v>36</v>
      </c>
    </row>
    <row r="41" spans="1:13">
      <c r="A41" s="8"/>
      <c r="B41" s="3">
        <v>37</v>
      </c>
      <c r="C41" s="46"/>
      <c r="D41" s="2">
        <v>18</v>
      </c>
      <c r="E41" s="4" t="s">
        <v>111</v>
      </c>
      <c r="F41">
        <v>37</v>
      </c>
    </row>
    <row r="42" spans="1:13">
      <c r="A42" s="8"/>
      <c r="B42" s="3">
        <v>38</v>
      </c>
      <c r="C42" s="46"/>
      <c r="D42" s="2">
        <v>19</v>
      </c>
      <c r="E42" s="4" t="s">
        <v>110</v>
      </c>
      <c r="F42">
        <v>38</v>
      </c>
    </row>
    <row r="43" spans="1:13">
      <c r="A43" s="8"/>
      <c r="B43" s="3">
        <v>39</v>
      </c>
      <c r="C43" s="46"/>
      <c r="D43" s="2">
        <v>20</v>
      </c>
      <c r="E43" s="4" t="s">
        <v>109</v>
      </c>
      <c r="F43">
        <v>39</v>
      </c>
    </row>
    <row r="44" spans="1:13">
      <c r="A44" s="8"/>
      <c r="B44" s="3">
        <v>40</v>
      </c>
      <c r="C44" s="41" t="s">
        <v>355</v>
      </c>
      <c r="D44" s="2">
        <v>0</v>
      </c>
      <c r="E44" s="4" t="s">
        <v>357</v>
      </c>
      <c r="F44">
        <v>40</v>
      </c>
    </row>
    <row r="45" spans="1:13">
      <c r="B45" s="3">
        <v>41</v>
      </c>
      <c r="C45" s="42"/>
      <c r="D45" s="2">
        <v>1</v>
      </c>
      <c r="E45" s="4" t="s">
        <v>358</v>
      </c>
      <c r="F45">
        <v>41</v>
      </c>
    </row>
    <row r="46" spans="1:13">
      <c r="B46" s="3">
        <v>42</v>
      </c>
      <c r="C46" s="42"/>
      <c r="D46" s="2">
        <v>2</v>
      </c>
      <c r="E46" s="4" t="s">
        <v>359</v>
      </c>
      <c r="F46">
        <v>42</v>
      </c>
    </row>
    <row r="47" spans="1:13">
      <c r="B47" s="3">
        <v>43</v>
      </c>
      <c r="C47" s="42"/>
      <c r="D47" s="2">
        <v>3</v>
      </c>
      <c r="E47" s="4" t="s">
        <v>360</v>
      </c>
      <c r="F47">
        <v>43</v>
      </c>
    </row>
    <row r="48" spans="1:13">
      <c r="B48" s="3">
        <v>44</v>
      </c>
      <c r="C48" s="42"/>
      <c r="D48" s="2">
        <v>4</v>
      </c>
      <c r="E48" s="4" t="s">
        <v>100</v>
      </c>
      <c r="F48">
        <v>44</v>
      </c>
    </row>
    <row r="49" spans="2:6">
      <c r="B49" s="3">
        <v>45</v>
      </c>
      <c r="C49" s="42"/>
      <c r="D49" s="2">
        <v>5</v>
      </c>
      <c r="E49" s="4" t="s">
        <v>100</v>
      </c>
      <c r="F49">
        <v>45</v>
      </c>
    </row>
    <row r="50" spans="2:6">
      <c r="B50" s="3">
        <v>46</v>
      </c>
      <c r="C50" s="42"/>
      <c r="D50" s="2">
        <v>6</v>
      </c>
      <c r="E50" s="4" t="s">
        <v>100</v>
      </c>
      <c r="F50">
        <v>46</v>
      </c>
    </row>
    <row r="51" spans="2:6">
      <c r="B51" s="3">
        <v>47</v>
      </c>
      <c r="C51" s="42"/>
      <c r="D51" s="2">
        <v>7</v>
      </c>
      <c r="E51" s="16" t="s">
        <v>356</v>
      </c>
      <c r="F51">
        <v>47</v>
      </c>
    </row>
    <row r="52" spans="2:6">
      <c r="B52" s="3">
        <v>48</v>
      </c>
      <c r="C52" s="17"/>
      <c r="D52" s="2"/>
      <c r="E52" s="4"/>
      <c r="F52">
        <v>48</v>
      </c>
    </row>
    <row r="53" spans="2:6" ht="15.75" thickBot="1">
      <c r="B53" s="5">
        <v>49</v>
      </c>
      <c r="C53" s="6"/>
      <c r="D53" s="6"/>
      <c r="E53" s="7"/>
    </row>
  </sheetData>
  <mergeCells count="8">
    <mergeCell ref="C44:C51"/>
    <mergeCell ref="K32:K35"/>
    <mergeCell ref="K36:K39"/>
    <mergeCell ref="C4:C23"/>
    <mergeCell ref="C24:C43"/>
    <mergeCell ref="K4:K15"/>
    <mergeCell ref="K16:K27"/>
    <mergeCell ref="K28:K31"/>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dimension ref="C2:S11"/>
  <sheetViews>
    <sheetView workbookViewId="0">
      <selection activeCell="E33" sqref="E33"/>
    </sheetView>
  </sheetViews>
  <sheetFormatPr defaultRowHeight="15"/>
  <cols>
    <col min="3" max="3" width="24" customWidth="1"/>
    <col min="4" max="4" width="27.42578125" customWidth="1"/>
    <col min="6" max="6" width="24.7109375" customWidth="1"/>
    <col min="7" max="7" width="5.85546875" customWidth="1"/>
    <col min="8" max="8" width="5" customWidth="1"/>
    <col min="9" max="9" width="41.7109375" customWidth="1"/>
  </cols>
  <sheetData>
    <row r="2" spans="3:19">
      <c r="K2" s="48" t="s">
        <v>331</v>
      </c>
      <c r="L2" s="48"/>
      <c r="M2" s="48"/>
      <c r="N2" s="48"/>
      <c r="O2" s="48"/>
      <c r="P2" s="48"/>
      <c r="Q2" s="48"/>
      <c r="R2" s="48"/>
      <c r="S2" s="48"/>
    </row>
    <row r="3" spans="3:19">
      <c r="C3" s="15" t="s">
        <v>310</v>
      </c>
      <c r="D3" s="15" t="s">
        <v>311</v>
      </c>
      <c r="E3" s="15" t="s">
        <v>313</v>
      </c>
      <c r="F3" s="15" t="s">
        <v>317</v>
      </c>
      <c r="G3" s="15"/>
      <c r="H3" s="15"/>
      <c r="I3" s="15" t="s">
        <v>316</v>
      </c>
      <c r="K3" s="15">
        <v>0</v>
      </c>
      <c r="L3" s="15">
        <v>1</v>
      </c>
      <c r="M3" s="15">
        <v>2</v>
      </c>
      <c r="N3" s="15">
        <v>3</v>
      </c>
      <c r="O3" s="15">
        <v>4</v>
      </c>
      <c r="P3" s="15">
        <v>5</v>
      </c>
      <c r="Q3" s="15">
        <v>6</v>
      </c>
      <c r="R3" s="15">
        <v>7</v>
      </c>
      <c r="S3" s="15">
        <v>8</v>
      </c>
    </row>
    <row r="4" spans="3:19">
      <c r="C4" t="s">
        <v>116</v>
      </c>
      <c r="D4" t="s">
        <v>42</v>
      </c>
      <c r="E4" t="s">
        <v>289</v>
      </c>
      <c r="F4" t="s">
        <v>290</v>
      </c>
      <c r="I4" t="str">
        <f t="shared" ref="I4:I11" si="0">CONCATENATE("#define  ",F4,"  ",E4)</f>
        <v>#define  CMD_BALANCE_INFO  0x310</v>
      </c>
    </row>
    <row r="5" spans="3:19">
      <c r="D5" t="s">
        <v>312</v>
      </c>
      <c r="E5" t="s">
        <v>142</v>
      </c>
      <c r="F5" t="s">
        <v>288</v>
      </c>
      <c r="I5" t="str">
        <f t="shared" si="0"/>
        <v>#define  CMD_GESTURE  0x120</v>
      </c>
    </row>
    <row r="6" spans="3:19">
      <c r="C6" t="s">
        <v>116</v>
      </c>
      <c r="D6" t="s">
        <v>312</v>
      </c>
      <c r="E6" t="s">
        <v>286</v>
      </c>
      <c r="F6" t="s">
        <v>287</v>
      </c>
      <c r="I6" t="str">
        <f t="shared" si="0"/>
        <v>#define  CMD_RTC_SYNC  0x510</v>
      </c>
    </row>
    <row r="7" spans="3:19">
      <c r="C7" t="s">
        <v>312</v>
      </c>
      <c r="D7" t="s">
        <v>312</v>
      </c>
      <c r="E7" t="s">
        <v>283</v>
      </c>
      <c r="F7" t="s">
        <v>284</v>
      </c>
      <c r="I7" t="str">
        <f t="shared" si="0"/>
        <v>#define  CMD_VAR_VALUE  0x110</v>
      </c>
    </row>
    <row r="8" spans="3:19">
      <c r="C8" t="s">
        <v>312</v>
      </c>
      <c r="D8" t="s">
        <v>116</v>
      </c>
      <c r="E8" t="s">
        <v>314</v>
      </c>
      <c r="F8" t="s">
        <v>315</v>
      </c>
      <c r="I8" t="str">
        <f t="shared" si="0"/>
        <v>#define  CMD_AC_REMOTE_REQ  0x130</v>
      </c>
    </row>
    <row r="9" spans="3:19">
      <c r="C9" t="s">
        <v>320</v>
      </c>
      <c r="D9" t="s">
        <v>320</v>
      </c>
      <c r="E9" t="s">
        <v>319</v>
      </c>
      <c r="F9" t="s">
        <v>318</v>
      </c>
      <c r="I9" t="str">
        <f t="shared" si="0"/>
        <v>#define  CMD_BUTTON_STATE  0x100</v>
      </c>
    </row>
    <row r="10" spans="3:19">
      <c r="C10" t="s">
        <v>116</v>
      </c>
      <c r="D10" t="s">
        <v>312</v>
      </c>
      <c r="E10" t="s">
        <v>327</v>
      </c>
      <c r="F10" t="s">
        <v>328</v>
      </c>
      <c r="I10" t="str">
        <f t="shared" si="0"/>
        <v>#define  CMD_RESET_REQUEST  0x520</v>
      </c>
    </row>
    <row r="11" spans="3:19">
      <c r="C11" t="s">
        <v>312</v>
      </c>
      <c r="D11" t="s">
        <v>325</v>
      </c>
      <c r="E11" t="s">
        <v>329</v>
      </c>
      <c r="F11" t="s">
        <v>330</v>
      </c>
      <c r="I11" t="str">
        <f t="shared" si="0"/>
        <v>#define  CMD_RECU_REMOTE_REQ  0x140</v>
      </c>
      <c r="K11" s="49" t="s">
        <v>333</v>
      </c>
      <c r="L11" s="49"/>
      <c r="M11" s="49" t="s">
        <v>332</v>
      </c>
      <c r="N11" s="49"/>
      <c r="O11" s="49"/>
      <c r="P11" s="49"/>
    </row>
  </sheetData>
  <mergeCells count="4">
    <mergeCell ref="K2:S2"/>
    <mergeCell ref="M11:N11"/>
    <mergeCell ref="O11:P11"/>
    <mergeCell ref="K11:L11"/>
  </mergeCells>
  <pageMargins left="0.7" right="0.7" top="0.78740157499999996" bottom="0.78740157499999996" header="0.3" footer="0.3"/>
  <pageSetup orientation="portrait" r:id="rId1"/>
</worksheet>
</file>

<file path=xl/worksheets/sheet7.xml><?xml version="1.0" encoding="utf-8"?>
<worksheet xmlns="http://schemas.openxmlformats.org/spreadsheetml/2006/main" xmlns:r="http://schemas.openxmlformats.org/officeDocument/2006/relationships">
  <dimension ref="D3:G12"/>
  <sheetViews>
    <sheetView workbookViewId="0">
      <selection activeCell="J24" sqref="J24"/>
    </sheetView>
  </sheetViews>
  <sheetFormatPr defaultRowHeight="15"/>
  <cols>
    <col min="5" max="5" width="25.7109375" customWidth="1"/>
  </cols>
  <sheetData>
    <row r="3" spans="4:7">
      <c r="D3" s="15" t="s">
        <v>321</v>
      </c>
      <c r="E3" s="15" t="s">
        <v>322</v>
      </c>
      <c r="F3" s="15"/>
      <c r="G3" s="15" t="s">
        <v>316</v>
      </c>
    </row>
    <row r="4" spans="4:7">
      <c r="D4">
        <v>1</v>
      </c>
      <c r="E4" t="s">
        <v>323</v>
      </c>
    </row>
    <row r="5" spans="4:7">
      <c r="D5">
        <v>2</v>
      </c>
      <c r="E5" t="s">
        <v>324</v>
      </c>
    </row>
    <row r="6" spans="4:7">
      <c r="D6">
        <v>3</v>
      </c>
      <c r="E6" t="s">
        <v>42</v>
      </c>
    </row>
    <row r="7" spans="4:7">
      <c r="D7">
        <v>4</v>
      </c>
      <c r="E7" t="s">
        <v>116</v>
      </c>
    </row>
    <row r="8" spans="4:7">
      <c r="D8">
        <v>5</v>
      </c>
      <c r="E8" t="s">
        <v>325</v>
      </c>
    </row>
    <row r="9" spans="4:7">
      <c r="D9">
        <v>6</v>
      </c>
      <c r="E9" t="s">
        <v>326</v>
      </c>
    </row>
    <row r="10" spans="4:7">
      <c r="D10">
        <v>7</v>
      </c>
      <c r="E10" t="s">
        <v>339</v>
      </c>
    </row>
    <row r="11" spans="4:7">
      <c r="D11">
        <v>8</v>
      </c>
    </row>
    <row r="12" spans="4:7">
      <c r="D12">
        <v>9</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dimension ref="C3:E7"/>
  <sheetViews>
    <sheetView workbookViewId="0">
      <selection activeCell="C3" sqref="C3"/>
    </sheetView>
  </sheetViews>
  <sheetFormatPr defaultRowHeight="15"/>
  <cols>
    <col min="3" max="3" width="20.140625" customWidth="1"/>
    <col min="5" max="5" width="48.42578125" bestFit="1" customWidth="1"/>
  </cols>
  <sheetData>
    <row r="3" spans="3:5">
      <c r="C3" t="s">
        <v>333</v>
      </c>
      <c r="D3">
        <v>0</v>
      </c>
      <c r="E3" t="s">
        <v>338</v>
      </c>
    </row>
    <row r="4" spans="3:5">
      <c r="D4">
        <v>1</v>
      </c>
      <c r="E4" t="s">
        <v>334</v>
      </c>
    </row>
    <row r="5" spans="3:5">
      <c r="D5">
        <v>2</v>
      </c>
      <c r="E5" t="s">
        <v>335</v>
      </c>
    </row>
    <row r="6" spans="3:5">
      <c r="D6">
        <v>3</v>
      </c>
      <c r="E6" t="s">
        <v>336</v>
      </c>
    </row>
    <row r="7" spans="3:5">
      <c r="D7">
        <v>4</v>
      </c>
      <c r="E7" t="s">
        <v>337</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dimension ref="C3:O23"/>
  <sheetViews>
    <sheetView workbookViewId="0">
      <selection activeCell="H23" sqref="H23"/>
    </sheetView>
  </sheetViews>
  <sheetFormatPr defaultRowHeight="15"/>
  <sheetData>
    <row r="3" spans="3:10">
      <c r="C3" t="s">
        <v>369</v>
      </c>
    </row>
    <row r="4" spans="3:10">
      <c r="I4" t="s">
        <v>377</v>
      </c>
      <c r="J4">
        <v>3313</v>
      </c>
    </row>
    <row r="5" spans="3:10">
      <c r="I5" t="s">
        <v>378</v>
      </c>
      <c r="J5">
        <v>1000</v>
      </c>
    </row>
    <row r="6" spans="3:10">
      <c r="I6" t="s">
        <v>380</v>
      </c>
      <c r="J6">
        <v>20000</v>
      </c>
    </row>
    <row r="7" spans="3:10">
      <c r="C7" t="s">
        <v>371</v>
      </c>
      <c r="E7" t="s">
        <v>372</v>
      </c>
      <c r="F7" t="s">
        <v>373</v>
      </c>
      <c r="I7" t="s">
        <v>381</v>
      </c>
      <c r="J7">
        <v>27000</v>
      </c>
    </row>
    <row r="8" spans="3:10">
      <c r="F8">
        <v>1295</v>
      </c>
      <c r="I8" t="s">
        <v>382</v>
      </c>
      <c r="J8">
        <v>10000</v>
      </c>
    </row>
    <row r="9" spans="3:10">
      <c r="F9">
        <v>1295</v>
      </c>
      <c r="I9" t="s">
        <v>383</v>
      </c>
      <c r="J9">
        <v>47000</v>
      </c>
    </row>
    <row r="10" spans="3:10">
      <c r="C10" t="s">
        <v>370</v>
      </c>
    </row>
    <row r="12" spans="3:10">
      <c r="C12" t="s">
        <v>374</v>
      </c>
      <c r="E12">
        <v>1521</v>
      </c>
    </row>
    <row r="14" spans="3:10">
      <c r="C14" t="s">
        <v>375</v>
      </c>
      <c r="E14">
        <f>1000+E12/2.61</f>
        <v>1582.7586206896553</v>
      </c>
      <c r="F14" t="s">
        <v>376</v>
      </c>
    </row>
    <row r="16" spans="3:10">
      <c r="C16" t="s">
        <v>370</v>
      </c>
      <c r="E16">
        <f>E14*J4/(J5+E14)</f>
        <v>2030.2630173564755</v>
      </c>
      <c r="F16" t="s">
        <v>384</v>
      </c>
    </row>
    <row r="18" spans="3:15">
      <c r="N18" t="s">
        <v>386</v>
      </c>
      <c r="O18">
        <f>(E19*(J8+J9)-F9*J8)/J9</f>
        <v>2032.6197374377548</v>
      </c>
    </row>
    <row r="19" spans="3:15">
      <c r="C19" t="s">
        <v>379</v>
      </c>
      <c r="E19">
        <f>J4*J7/(J6+J7)</f>
        <v>1903.2127659574469</v>
      </c>
    </row>
    <row r="20" spans="3:15">
      <c r="N20" t="s">
        <v>387</v>
      </c>
      <c r="O20">
        <f>O18*J5/(J4-O18)</f>
        <v>1587.5125514432395</v>
      </c>
    </row>
    <row r="22" spans="3:15">
      <c r="C22" t="s">
        <v>385</v>
      </c>
      <c r="E22">
        <f>(E19*(J8+J9)-E16*J9)/J8</f>
        <v>1306.0765843820125</v>
      </c>
    </row>
    <row r="23" spans="3:15">
      <c r="N23" t="s">
        <v>388</v>
      </c>
      <c r="O23">
        <f>(O20-1000)*0.261</f>
        <v>153.34077592668552</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dimension ref="C1:G45"/>
  <sheetViews>
    <sheetView zoomScale="85" zoomScaleNormal="85" workbookViewId="0">
      <selection activeCell="D25" sqref="D25"/>
    </sheetView>
  </sheetViews>
  <sheetFormatPr defaultRowHeight="15"/>
  <cols>
    <col min="3" max="3" width="32.5703125" customWidth="1"/>
    <col min="4" max="4" width="38.28515625" customWidth="1"/>
    <col min="5" max="5" width="32.7109375" customWidth="1"/>
    <col min="6" max="6" width="32.5703125" customWidth="1"/>
    <col min="7" max="7" width="96.7109375" customWidth="1"/>
  </cols>
  <sheetData>
    <row r="1" spans="3:7">
      <c r="D1" t="s">
        <v>398</v>
      </c>
      <c r="E1" t="s">
        <v>399</v>
      </c>
      <c r="F1" s="49" t="s">
        <v>406</v>
      </c>
      <c r="G1" s="49"/>
    </row>
    <row r="4" spans="3:7">
      <c r="G4" t="s">
        <v>407</v>
      </c>
    </row>
    <row r="5" spans="3:7">
      <c r="F5" s="24" t="s">
        <v>137</v>
      </c>
      <c r="G5" s="26" t="s">
        <v>414</v>
      </c>
    </row>
    <row r="6" spans="3:7">
      <c r="C6" s="50" t="s">
        <v>116</v>
      </c>
      <c r="D6" t="s">
        <v>179</v>
      </c>
      <c r="F6" s="24" t="s">
        <v>138</v>
      </c>
      <c r="G6" s="26" t="s">
        <v>426</v>
      </c>
    </row>
    <row r="7" spans="3:7">
      <c r="C7" s="50"/>
      <c r="D7" t="s">
        <v>180</v>
      </c>
      <c r="G7" s="26"/>
    </row>
    <row r="8" spans="3:7">
      <c r="C8" s="50"/>
      <c r="D8" t="s">
        <v>181</v>
      </c>
    </row>
    <row r="9" spans="3:7">
      <c r="C9" s="50"/>
      <c r="D9" t="s">
        <v>182</v>
      </c>
      <c r="F9" s="24" t="s">
        <v>168</v>
      </c>
      <c r="G9" s="26" t="s">
        <v>408</v>
      </c>
    </row>
    <row r="10" spans="3:7">
      <c r="C10" s="50"/>
      <c r="D10" s="33" t="s">
        <v>183</v>
      </c>
      <c r="E10" s="33" t="s">
        <v>424</v>
      </c>
      <c r="F10" s="24" t="s">
        <v>409</v>
      </c>
      <c r="G10" s="26" t="s">
        <v>412</v>
      </c>
    </row>
    <row r="11" spans="3:7">
      <c r="C11" s="50"/>
      <c r="D11" t="s">
        <v>184</v>
      </c>
      <c r="F11" s="24" t="s">
        <v>253</v>
      </c>
      <c r="G11" s="26" t="s">
        <v>413</v>
      </c>
    </row>
    <row r="12" spans="3:7">
      <c r="C12" s="50"/>
      <c r="D12" t="s">
        <v>185</v>
      </c>
      <c r="F12" s="27" t="s">
        <v>254</v>
      </c>
      <c r="G12" s="26" t="s">
        <v>421</v>
      </c>
    </row>
    <row r="13" spans="3:7">
      <c r="C13" s="50"/>
      <c r="D13" t="s">
        <v>186</v>
      </c>
      <c r="F13" s="27" t="s">
        <v>252</v>
      </c>
      <c r="G13" s="26" t="s">
        <v>425</v>
      </c>
    </row>
    <row r="14" spans="3:7">
      <c r="C14" s="50"/>
      <c r="D14" t="s">
        <v>251</v>
      </c>
      <c r="F14" s="32" t="s">
        <v>309</v>
      </c>
    </row>
    <row r="15" spans="3:7">
      <c r="C15" s="50"/>
      <c r="G15" s="26"/>
    </row>
    <row r="16" spans="3:7">
      <c r="C16" s="50"/>
      <c r="D16" t="s">
        <v>174</v>
      </c>
      <c r="G16" s="26"/>
    </row>
    <row r="17" spans="3:7">
      <c r="C17" s="50"/>
      <c r="D17" t="s">
        <v>175</v>
      </c>
      <c r="G17" s="26"/>
    </row>
    <row r="18" spans="3:7">
      <c r="C18" s="50"/>
      <c r="D18" s="24" t="s">
        <v>176</v>
      </c>
      <c r="E18" s="24"/>
      <c r="F18" s="25" t="s">
        <v>415</v>
      </c>
      <c r="G18" s="26" t="s">
        <v>416</v>
      </c>
    </row>
    <row r="19" spans="3:7">
      <c r="C19" s="50"/>
      <c r="D19" t="s">
        <v>177</v>
      </c>
      <c r="F19" s="25" t="s">
        <v>439</v>
      </c>
      <c r="G19" s="26" t="s">
        <v>422</v>
      </c>
    </row>
    <row r="20" spans="3:7">
      <c r="C20" s="50"/>
      <c r="D20" t="s">
        <v>178</v>
      </c>
      <c r="E20" s="24" t="s">
        <v>410</v>
      </c>
      <c r="G20" s="26"/>
    </row>
    <row r="21" spans="3:7">
      <c r="C21" s="50"/>
      <c r="E21" s="24" t="s">
        <v>403</v>
      </c>
      <c r="G21" s="26"/>
    </row>
    <row r="22" spans="3:7">
      <c r="C22" s="50"/>
      <c r="D22" s="24" t="s">
        <v>354</v>
      </c>
      <c r="E22" s="24" t="s">
        <v>404</v>
      </c>
      <c r="G22" s="26"/>
    </row>
    <row r="23" spans="3:7">
      <c r="C23" s="50"/>
      <c r="E23" s="24" t="s">
        <v>405</v>
      </c>
      <c r="G23" s="26"/>
    </row>
    <row r="24" spans="3:7">
      <c r="C24" s="50" t="s">
        <v>339</v>
      </c>
      <c r="F24" s="34" t="s">
        <v>427</v>
      </c>
      <c r="G24" s="35" t="s">
        <v>428</v>
      </c>
    </row>
    <row r="25" spans="3:7">
      <c r="C25" s="50"/>
      <c r="D25" s="30" t="s">
        <v>389</v>
      </c>
      <c r="E25" s="38" t="s">
        <v>438</v>
      </c>
      <c r="F25" s="34" t="s">
        <v>429</v>
      </c>
      <c r="G25" s="35"/>
    </row>
    <row r="26" spans="3:7">
      <c r="C26" s="50"/>
      <c r="D26" s="30" t="s">
        <v>390</v>
      </c>
      <c r="E26" s="31" t="s">
        <v>419</v>
      </c>
      <c r="F26" s="34" t="s">
        <v>430</v>
      </c>
      <c r="G26" s="35" t="s">
        <v>431</v>
      </c>
    </row>
    <row r="27" spans="3:7">
      <c r="C27" s="50"/>
      <c r="D27" s="28" t="s">
        <v>391</v>
      </c>
      <c r="F27" s="34" t="s">
        <v>432</v>
      </c>
      <c r="G27" s="35" t="s">
        <v>433</v>
      </c>
    </row>
    <row r="28" spans="3:7">
      <c r="C28" s="50"/>
      <c r="D28" s="27" t="s">
        <v>392</v>
      </c>
      <c r="E28" s="27" t="s">
        <v>417</v>
      </c>
      <c r="F28" s="34" t="s">
        <v>434</v>
      </c>
      <c r="G28" s="35" t="s">
        <v>435</v>
      </c>
    </row>
    <row r="29" spans="3:7">
      <c r="C29" s="50"/>
      <c r="D29" t="s">
        <v>394</v>
      </c>
      <c r="E29" t="s">
        <v>423</v>
      </c>
      <c r="G29" s="26"/>
    </row>
    <row r="30" spans="3:7">
      <c r="C30" s="50"/>
      <c r="D30" t="s">
        <v>393</v>
      </c>
      <c r="G30" s="26"/>
    </row>
    <row r="31" spans="3:7">
      <c r="C31" s="50"/>
      <c r="D31" s="27" t="s">
        <v>395</v>
      </c>
      <c r="E31" t="s">
        <v>420</v>
      </c>
      <c r="G31" s="26"/>
    </row>
    <row r="32" spans="3:7">
      <c r="C32" s="50"/>
      <c r="D32" t="s">
        <v>396</v>
      </c>
      <c r="G32" s="26"/>
    </row>
    <row r="33" spans="3:7">
      <c r="C33" s="50"/>
      <c r="D33" t="s">
        <v>397</v>
      </c>
      <c r="G33" s="26"/>
    </row>
    <row r="34" spans="3:7">
      <c r="C34" s="50"/>
      <c r="G34" s="26"/>
    </row>
    <row r="35" spans="3:7">
      <c r="C35" s="50"/>
      <c r="D35" t="s">
        <v>169</v>
      </c>
      <c r="G35" s="26"/>
    </row>
    <row r="36" spans="3:7">
      <c r="C36" s="50"/>
      <c r="D36" t="s">
        <v>170</v>
      </c>
      <c r="G36" s="26"/>
    </row>
    <row r="37" spans="3:7">
      <c r="C37" s="50"/>
      <c r="D37" s="25" t="s">
        <v>171</v>
      </c>
      <c r="E37" s="25"/>
      <c r="G37" s="26"/>
    </row>
    <row r="38" spans="3:7">
      <c r="C38" s="50"/>
      <c r="D38" t="s">
        <v>172</v>
      </c>
      <c r="G38" s="26"/>
    </row>
    <row r="39" spans="3:7">
      <c r="C39" s="50"/>
      <c r="D39" t="s">
        <v>173</v>
      </c>
      <c r="E39" s="25" t="s">
        <v>411</v>
      </c>
      <c r="G39" s="26"/>
    </row>
    <row r="40" spans="3:7">
      <c r="C40" s="50"/>
      <c r="E40" s="25" t="s">
        <v>400</v>
      </c>
      <c r="G40" s="26"/>
    </row>
    <row r="41" spans="3:7">
      <c r="C41" s="50"/>
      <c r="D41" s="25" t="s">
        <v>353</v>
      </c>
      <c r="E41" s="25" t="s">
        <v>401</v>
      </c>
      <c r="G41" s="26"/>
    </row>
    <row r="42" spans="3:7">
      <c r="C42" s="50"/>
      <c r="E42" s="25" t="s">
        <v>402</v>
      </c>
      <c r="G42" s="26"/>
    </row>
    <row r="43" spans="3:7">
      <c r="C43" s="50"/>
      <c r="G43" s="26"/>
    </row>
    <row r="44" spans="3:7">
      <c r="C44" s="50"/>
    </row>
    <row r="45" spans="3:7">
      <c r="C45" s="50"/>
    </row>
  </sheetData>
  <mergeCells count="3">
    <mergeCell ref="C6:C23"/>
    <mergeCell ref="C24:C45"/>
    <mergeCell ref="F1:G1"/>
  </mergeCells>
  <pageMargins left="0.7" right="0.7" top="0.78740157499999996" bottom="0.78740157499999996" header="0.3" footer="0.3"/>
  <pageSetup paperSize="9" orientation="portrait" horizontalDpi="360" verticalDpi="360" r:id="rId1"/>
  <legacyDrawing r:id="rId2"/>
</worksheet>
</file>

<file path=xl/worksheets/sheet11.xml><?xml version="1.0" encoding="utf-8"?>
<worksheet xmlns="http://schemas.openxmlformats.org/spreadsheetml/2006/main" xmlns:r="http://schemas.openxmlformats.org/officeDocument/2006/relationships">
  <dimension ref="I9:N26"/>
  <sheetViews>
    <sheetView workbookViewId="0">
      <selection activeCell="J15" sqref="J15"/>
    </sheetView>
  </sheetViews>
  <sheetFormatPr defaultRowHeight="15"/>
  <cols>
    <col min="10" max="10" width="32.42578125" customWidth="1"/>
    <col min="14" max="14" width="45.7109375" customWidth="1"/>
  </cols>
  <sheetData>
    <row r="9" spans="9:14">
      <c r="I9">
        <v>1</v>
      </c>
      <c r="J9" t="s">
        <v>440</v>
      </c>
      <c r="N9" s="27" t="s">
        <v>415</v>
      </c>
    </row>
    <row r="10" spans="9:14">
      <c r="I10">
        <v>2</v>
      </c>
      <c r="J10" t="s">
        <v>441</v>
      </c>
      <c r="N10" s="27" t="s">
        <v>439</v>
      </c>
    </row>
    <row r="11" spans="9:14">
      <c r="I11">
        <v>3</v>
      </c>
      <c r="J11" t="s">
        <v>442</v>
      </c>
      <c r="N11" s="27" t="s">
        <v>137</v>
      </c>
    </row>
    <row r="12" spans="9:14">
      <c r="I12">
        <v>4</v>
      </c>
      <c r="J12" t="s">
        <v>443</v>
      </c>
      <c r="N12" s="27" t="s">
        <v>138</v>
      </c>
    </row>
    <row r="13" spans="9:14">
      <c r="I13">
        <v>5</v>
      </c>
      <c r="J13" s="27" t="s">
        <v>444</v>
      </c>
      <c r="N13" s="36"/>
    </row>
    <row r="14" spans="9:14">
      <c r="I14">
        <v>6</v>
      </c>
      <c r="J14" t="s">
        <v>469</v>
      </c>
      <c r="N14" s="36"/>
    </row>
    <row r="15" spans="9:14">
      <c r="I15">
        <v>7</v>
      </c>
      <c r="J15" s="27" t="s">
        <v>471</v>
      </c>
      <c r="N15" s="27" t="s">
        <v>168</v>
      </c>
    </row>
    <row r="16" spans="9:14">
      <c r="I16">
        <v>8</v>
      </c>
      <c r="J16" t="s">
        <v>473</v>
      </c>
      <c r="N16" s="27" t="s">
        <v>252</v>
      </c>
    </row>
    <row r="17" spans="9:14">
      <c r="I17">
        <v>9</v>
      </c>
      <c r="J17" t="s">
        <v>445</v>
      </c>
      <c r="N17" s="27" t="s">
        <v>253</v>
      </c>
    </row>
    <row r="18" spans="9:14">
      <c r="I18">
        <v>10</v>
      </c>
      <c r="J18" t="s">
        <v>446</v>
      </c>
      <c r="N18" s="27" t="s">
        <v>254</v>
      </c>
    </row>
    <row r="19" spans="9:14">
      <c r="I19">
        <v>11</v>
      </c>
      <c r="J19" t="s">
        <v>447</v>
      </c>
      <c r="N19" s="27" t="s">
        <v>409</v>
      </c>
    </row>
    <row r="20" spans="9:14">
      <c r="I20">
        <v>12</v>
      </c>
      <c r="J20" t="s">
        <v>448</v>
      </c>
    </row>
    <row r="21" spans="9:14">
      <c r="I21">
        <v>13</v>
      </c>
      <c r="J21" t="s">
        <v>451</v>
      </c>
    </row>
    <row r="22" spans="9:14">
      <c r="I22">
        <v>14</v>
      </c>
      <c r="J22" t="s">
        <v>450</v>
      </c>
    </row>
    <row r="23" spans="9:14">
      <c r="I23">
        <v>15</v>
      </c>
      <c r="J23" t="s">
        <v>449</v>
      </c>
    </row>
    <row r="24" spans="9:14">
      <c r="I24">
        <v>16</v>
      </c>
      <c r="J24" t="s">
        <v>452</v>
      </c>
    </row>
    <row r="25" spans="9:14">
      <c r="J25" t="s">
        <v>453</v>
      </c>
    </row>
    <row r="26" spans="9:14">
      <c r="J26" t="s">
        <v>454</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dimension ref="C3:U30"/>
  <sheetViews>
    <sheetView tabSelected="1" workbookViewId="0">
      <selection activeCell="C3" sqref="C3:O10"/>
    </sheetView>
  </sheetViews>
  <sheetFormatPr defaultRowHeight="15"/>
  <cols>
    <col min="4" max="4" width="17.5703125" customWidth="1"/>
    <col min="5" max="5" width="10.85546875" customWidth="1"/>
    <col min="6" max="6" width="15.7109375" customWidth="1"/>
    <col min="7" max="7" width="19.140625" customWidth="1"/>
    <col min="8" max="8" width="20" customWidth="1"/>
    <col min="13" max="13" width="16.85546875" customWidth="1"/>
    <col min="14" max="14" width="23.5703125" customWidth="1"/>
    <col min="16" max="16" width="51.140625" customWidth="1"/>
  </cols>
  <sheetData>
    <row r="3" spans="3:21" ht="15" customHeight="1">
      <c r="C3" s="51" t="s">
        <v>524</v>
      </c>
      <c r="D3" s="51"/>
      <c r="E3" s="51"/>
      <c r="F3" s="51"/>
      <c r="G3" s="51"/>
      <c r="H3" s="51"/>
      <c r="I3" s="51"/>
      <c r="J3" s="51"/>
      <c r="K3" s="51"/>
      <c r="L3" s="51"/>
      <c r="M3" s="51"/>
      <c r="N3" s="51"/>
      <c r="O3" s="51"/>
      <c r="P3" s="54"/>
    </row>
    <row r="4" spans="3:21">
      <c r="C4" s="51"/>
      <c r="D4" s="51"/>
      <c r="E4" s="51"/>
      <c r="F4" s="51"/>
      <c r="G4" s="51"/>
      <c r="H4" s="51"/>
      <c r="I4" s="51"/>
      <c r="J4" s="51"/>
      <c r="K4" s="51"/>
      <c r="L4" s="51"/>
      <c r="M4" s="51"/>
      <c r="N4" s="51"/>
      <c r="O4" s="51"/>
      <c r="P4" s="54"/>
    </row>
    <row r="5" spans="3:21">
      <c r="C5" s="51"/>
      <c r="D5" s="51"/>
      <c r="E5" s="51"/>
      <c r="F5" s="51"/>
      <c r="G5" s="51"/>
      <c r="H5" s="51"/>
      <c r="I5" s="51"/>
      <c r="J5" s="51"/>
      <c r="K5" s="51"/>
      <c r="L5" s="51"/>
      <c r="M5" s="51"/>
      <c r="N5" s="51"/>
      <c r="O5" s="51"/>
      <c r="P5" s="54"/>
    </row>
    <row r="6" spans="3:21">
      <c r="C6" s="51"/>
      <c r="D6" s="51"/>
      <c r="E6" s="51"/>
      <c r="F6" s="51"/>
      <c r="G6" s="51"/>
      <c r="H6" s="51"/>
      <c r="I6" s="51"/>
      <c r="J6" s="51"/>
      <c r="K6" s="51"/>
      <c r="L6" s="51"/>
      <c r="M6" s="51"/>
      <c r="N6" s="51"/>
      <c r="O6" s="51"/>
      <c r="P6" s="54"/>
    </row>
    <row r="7" spans="3:21">
      <c r="C7" s="51"/>
      <c r="D7" s="51"/>
      <c r="E7" s="51"/>
      <c r="F7" s="51"/>
      <c r="G7" s="51"/>
      <c r="H7" s="51"/>
      <c r="I7" s="51"/>
      <c r="J7" s="51"/>
      <c r="K7" s="51"/>
      <c r="L7" s="51"/>
      <c r="M7" s="51"/>
      <c r="N7" s="51"/>
      <c r="O7" s="51"/>
      <c r="P7" s="54"/>
    </row>
    <row r="8" spans="3:21">
      <c r="C8" s="51"/>
      <c r="D8" s="51"/>
      <c r="E8" s="51"/>
      <c r="F8" s="51"/>
      <c r="G8" s="51"/>
      <c r="H8" s="51"/>
      <c r="I8" s="51"/>
      <c r="J8" s="51"/>
      <c r="K8" s="51"/>
      <c r="L8" s="51"/>
      <c r="M8" s="51"/>
      <c r="N8" s="51"/>
      <c r="O8" s="51"/>
      <c r="P8" s="54"/>
    </row>
    <row r="9" spans="3:21">
      <c r="C9" s="51"/>
      <c r="D9" s="51"/>
      <c r="E9" s="51"/>
      <c r="F9" s="51"/>
      <c r="G9" s="51"/>
      <c r="H9" s="51"/>
      <c r="I9" s="51"/>
      <c r="J9" s="51"/>
      <c r="K9" s="51"/>
      <c r="L9" s="51"/>
      <c r="M9" s="51"/>
      <c r="N9" s="51"/>
      <c r="O9" s="51"/>
      <c r="P9" s="54"/>
    </row>
    <row r="10" spans="3:21">
      <c r="C10" s="51"/>
      <c r="D10" s="51"/>
      <c r="E10" s="51"/>
      <c r="F10" s="51"/>
      <c r="G10" s="51"/>
      <c r="H10" s="51"/>
      <c r="I10" s="51"/>
      <c r="J10" s="51"/>
      <c r="K10" s="51"/>
      <c r="L10" s="51"/>
      <c r="M10" s="51"/>
      <c r="N10" s="51"/>
      <c r="O10" s="51"/>
      <c r="P10" s="54"/>
    </row>
    <row r="13" spans="3:21">
      <c r="C13" t="s">
        <v>511</v>
      </c>
      <c r="E13" s="15" t="s">
        <v>481</v>
      </c>
      <c r="F13" s="15" t="s">
        <v>482</v>
      </c>
      <c r="G13" s="15" t="s">
        <v>483</v>
      </c>
      <c r="H13" s="15" t="s">
        <v>484</v>
      </c>
      <c r="I13" s="15" t="s">
        <v>485</v>
      </c>
      <c r="J13" s="15" t="s">
        <v>486</v>
      </c>
      <c r="K13" s="15" t="s">
        <v>487</v>
      </c>
      <c r="L13" s="15" t="s">
        <v>488</v>
      </c>
      <c r="U13">
        <v>20000</v>
      </c>
    </row>
    <row r="14" spans="3:21">
      <c r="D14" s="52" t="s">
        <v>480</v>
      </c>
      <c r="E14" s="52" t="s">
        <v>489</v>
      </c>
      <c r="F14" s="53" t="s">
        <v>490</v>
      </c>
      <c r="G14" s="53"/>
      <c r="H14" s="53"/>
      <c r="I14" s="53"/>
      <c r="J14" s="53"/>
      <c r="K14" s="53"/>
      <c r="L14" s="53"/>
      <c r="S14">
        <v>20001</v>
      </c>
    </row>
    <row r="15" spans="3:21">
      <c r="C15" t="s">
        <v>512</v>
      </c>
      <c r="D15" t="s">
        <v>495</v>
      </c>
      <c r="E15" t="s">
        <v>491</v>
      </c>
      <c r="G15" s="49" t="s">
        <v>503</v>
      </c>
      <c r="H15" s="49"/>
      <c r="I15" s="49" t="s">
        <v>504</v>
      </c>
      <c r="J15" s="49"/>
      <c r="K15" s="49"/>
      <c r="L15" s="49"/>
    </row>
    <row r="16" spans="3:21">
      <c r="C16" t="s">
        <v>512</v>
      </c>
      <c r="D16" t="s">
        <v>496</v>
      </c>
      <c r="E16" t="s">
        <v>492</v>
      </c>
      <c r="F16" t="s">
        <v>499</v>
      </c>
      <c r="G16" t="s">
        <v>498</v>
      </c>
      <c r="H16" t="s">
        <v>507</v>
      </c>
      <c r="I16" s="49" t="s">
        <v>497</v>
      </c>
      <c r="J16" s="49"/>
      <c r="K16" s="49"/>
      <c r="L16" s="49"/>
    </row>
    <row r="17" spans="3:14">
      <c r="C17" t="s">
        <v>513</v>
      </c>
      <c r="D17" t="s">
        <v>501</v>
      </c>
      <c r="E17" t="s">
        <v>493</v>
      </c>
      <c r="F17" t="s">
        <v>502</v>
      </c>
      <c r="G17" t="s">
        <v>509</v>
      </c>
      <c r="I17" s="49" t="s">
        <v>505</v>
      </c>
      <c r="J17" s="49"/>
      <c r="K17" s="49"/>
      <c r="L17" s="49"/>
    </row>
    <row r="18" spans="3:14">
      <c r="C18" t="s">
        <v>512</v>
      </c>
      <c r="D18" t="s">
        <v>500</v>
      </c>
      <c r="E18" t="s">
        <v>494</v>
      </c>
      <c r="G18" t="s">
        <v>510</v>
      </c>
      <c r="H18" t="s">
        <v>508</v>
      </c>
      <c r="I18" s="49" t="s">
        <v>506</v>
      </c>
      <c r="J18" s="49"/>
      <c r="K18" s="49"/>
      <c r="L18" s="49"/>
    </row>
    <row r="22" spans="3:14">
      <c r="M22" t="s">
        <v>514</v>
      </c>
      <c r="N22" t="s">
        <v>515</v>
      </c>
    </row>
    <row r="23" spans="3:14">
      <c r="N23" t="s">
        <v>516</v>
      </c>
    </row>
    <row r="24" spans="3:14">
      <c r="N24" t="s">
        <v>517</v>
      </c>
    </row>
    <row r="25" spans="3:14">
      <c r="N25" t="s">
        <v>518</v>
      </c>
    </row>
    <row r="26" spans="3:14">
      <c r="F26" t="s">
        <v>525</v>
      </c>
      <c r="G26" t="s">
        <v>526</v>
      </c>
      <c r="N26" t="s">
        <v>519</v>
      </c>
    </row>
    <row r="27" spans="3:14">
      <c r="F27" t="s">
        <v>527</v>
      </c>
      <c r="G27" t="s">
        <v>526</v>
      </c>
      <c r="N27" t="s">
        <v>520</v>
      </c>
    </row>
    <row r="28" spans="3:14">
      <c r="N28" t="s">
        <v>521</v>
      </c>
    </row>
    <row r="29" spans="3:14">
      <c r="N29" t="s">
        <v>522</v>
      </c>
    </row>
    <row r="30" spans="3:14">
      <c r="N30" t="s">
        <v>523</v>
      </c>
    </row>
  </sheetData>
  <mergeCells count="7">
    <mergeCell ref="F14:L14"/>
    <mergeCell ref="I15:L15"/>
    <mergeCell ref="G15:H15"/>
    <mergeCell ref="I16:L16"/>
    <mergeCell ref="I18:L18"/>
    <mergeCell ref="I17:L17"/>
    <mergeCell ref="C3:O10"/>
  </mergeCells>
  <pageMargins left="0.7" right="0.7" top="0.78740157499999996" bottom="0.78740157499999996" header="0.3" footer="0.3"/>
  <pageSetup paperSize="9"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12</vt:i4>
      </vt:variant>
    </vt:vector>
  </HeadingPairs>
  <TitlesOfParts>
    <vt:vector size="12" baseType="lpstr">
      <vt:lpstr>UHA meas values</vt:lpstr>
      <vt:lpstr>UHA_Vals2</vt:lpstr>
      <vt:lpstr>Commands</vt:lpstr>
      <vt:lpstr>TECHM_STATUS</vt:lpstr>
      <vt:lpstr>Buttons&amp;Lights</vt:lpstr>
      <vt:lpstr>COBIDs</vt:lpstr>
      <vt:lpstr>CAN nodes</vt:lpstr>
      <vt:lpstr>typedefs</vt:lpstr>
      <vt:lpstr>PTC sensor</vt:lpstr>
      <vt:lpstr>Energy VARs</vt:lpstr>
      <vt:lpstr>Energy VARS 2</vt:lpstr>
      <vt:lpstr>BTL protocol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Uživatel systému Windows</dc:creator>
  <cp:lastModifiedBy>Martin Kresta</cp:lastModifiedBy>
  <dcterms:created xsi:type="dcterms:W3CDTF">2021-07-05T18:48:53Z</dcterms:created>
  <dcterms:modified xsi:type="dcterms:W3CDTF">2025-11-17T07:46:37Z</dcterms:modified>
</cp:coreProperties>
</file>